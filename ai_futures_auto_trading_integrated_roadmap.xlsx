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bab7cf9c0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통합체크리스트" sheetId="1" r:id="R3c7bccaa9246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  <x:font>
      <x:b/>
      <x:sz val="11"/>
      <x:color rgb="07598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F9FAFB"/>
      </x:patternFill>
    </x:fill>
    <x:fill>
      <x:patternFill patternType="solid">
        <x:fgColor rgb="1F4E79"/>
      </x:patternFill>
    </x:fill>
    <x:fill>
      <x:patternFill patternType="solid">
        <x:fgColor rgb="E0F2FE"/>
      </x:patternFill>
    </x:fill>
  </x:fills>
  <x:borders count="38">
    <x:border/>
    <x:border/>
    <x:border>
      <x:right>
        <x:color rgb="D1D5DB"/>
      </x:right>
      <x:bottom>
        <x:color rgb="D1D5DB"/>
      </x:bottom>
    </x:border>
    <x:border>
      <x:left>
        <x:color rgb="D1D5DB"/>
      </x:left>
      <x:right>
        <x:color rgb="D1D5DB"/>
      </x:right>
      <x:bottom>
        <x:color rgb="D1D5DB"/>
      </x:bottom>
    </x:border>
    <x:border>
      <x:left>
        <x:color rgb="D1D5DB"/>
      </x:left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</x:border>
    <x:border>
      <x:left>
        <x:color rgb="D1D5DB"/>
      </x:left>
      <x:right>
        <x:color rgb="D1D5DB"/>
      </x:right>
      <x:top>
        <x:color rgb="D1D5DB"/>
      </x:top>
    </x:border>
    <x:border>
      <x:left>
        <x:color rgb="D1D5DB"/>
      </x:left>
      <x:top>
        <x:color rgb="D1D5DB"/>
      </x:top>
    </x:border>
    <x:border>
      <x:right>
        <x:color rgb="D1D5DB"/>
      </x:right>
      <x:bottom>
        <x:color rgb="D1D5DB"/>
      </x:bottom>
    </x:border>
    <x:border>
      <x:left>
        <x:color rgb="D1D5DB"/>
      </x:left>
      <x:right>
        <x:color rgb="D1D5DB"/>
      </x:right>
      <x:bottom>
        <x:color rgb="D1D5DB"/>
      </x:bottom>
    </x:border>
    <x:border>
      <x:left>
        <x:color rgb="D1D5DB"/>
      </x:left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</x:border>
    <x:border>
      <x:left>
        <x:color rgb="D1D5DB"/>
      </x:left>
      <x:right>
        <x:color rgb="D1D5DB"/>
      </x:right>
      <x:top>
        <x:color rgb="D1D5DB"/>
      </x:top>
    </x:border>
    <x:border>
      <x:left>
        <x:color rgb="D1D5DB"/>
      </x:left>
      <x:top>
        <x:color rgb="D1D5DB"/>
      </x:top>
    </x:border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</x:borders>
  <x:cellStyleXfs count="1">
    <x:xf numFmtId="0" fontId="0" fillId="0" borderId="0"/>
  </x:cellStyleXfs>
  <x:cellXfs count="1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0" fillId="4" borderId="18" xfId="0" applyNumberFormat="1" applyFont="1" applyFill="1" applyBorder="1"/>
    <x:xf numFmtId="0" fontId="0" fillId="4" borderId="19" xfId="0" applyNumberFormat="1" applyFont="1" applyFill="1" applyBorder="1"/>
    <x:xf numFmtId="200" fontId="0" fillId="4" borderId="9" xfId="0" applyNumberFormat="1" applyFont="1" applyFill="1" applyBorder="1"/>
    <x:xf numFmtId="200" fontId="0" fillId="4" borderId="18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200" fontId="0" fillId="4" borderId="9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200" fontId="0" fillId="4" borderId="18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  <x:xf numFmtId="0" fontId="0" fillId="4" borderId="19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horizontal="center" wrapText="1"/>
    </x:xf>
    <x:xf numFmtId="0" fontId="0" fillId="4" borderId="3" xfId="0" applyNumberFormat="1" applyFont="1" applyFill="1" applyBorder="1" applyAlignment="1">
      <x:alignment horizontal="center" wrapText="1"/>
    </x:xf>
    <x:xf numFmtId="0" fontId="0" fillId="4" borderId="4" xfId="0" applyNumberFormat="1" applyFont="1" applyFill="1" applyBorder="1" applyAlignment="1">
      <x:alignment horizontal="center" wrapText="1"/>
    </x:xf>
    <x:xf numFmtId="0" fontId="0" fillId="4" borderId="5" xfId="0" applyNumberFormat="1" applyFont="1" applyFill="1" applyBorder="1" applyAlignment="1">
      <x:alignment horizontal="center" wrapText="1"/>
    </x:xf>
    <x:xf numFmtId="0" fontId="0" fillId="4" borderId="6" xfId="0" applyNumberFormat="1" applyFont="1" applyFill="1" applyBorder="1" applyAlignment="1">
      <x:alignment horizontal="center" wrapText="1"/>
    </x:xf>
    <x:xf numFmtId="0" fontId="0" fillId="4" borderId="7" xfId="0" applyNumberFormat="1" applyFont="1" applyFill="1" applyBorder="1" applyAlignment="1">
      <x:alignment horizontal="center" wrapText="1"/>
    </x:xf>
    <x:xf numFmtId="0" fontId="0" fillId="4" borderId="8" xfId="0" applyNumberFormat="1" applyFont="1" applyFill="1" applyBorder="1" applyAlignment="1">
      <x:alignment horizontal="center" wrapText="1"/>
    </x:xf>
    <x:xf numFmtId="200" fontId="0" fillId="4" borderId="9" xfId="0" applyNumberFormat="1" applyFont="1" applyFill="1" applyBorder="1" applyAlignment="1">
      <x:alignment horizontal="center" wrapText="1"/>
    </x:xf>
    <x:xf numFmtId="0" fontId="0" fillId="4" borderId="9" xfId="0" applyNumberFormat="1" applyFont="1" applyFill="1" applyBorder="1" applyAlignment="1">
      <x:alignment horizontal="center" wrapText="1"/>
    </x:xf>
    <x:xf numFmtId="0" fontId="0" fillId="4" borderId="10" xfId="0" applyNumberFormat="1" applyFont="1" applyFill="1" applyBorder="1" applyAlignment="1">
      <x:alignment horizontal="center" wrapText="1"/>
    </x:xf>
    <x:xf numFmtId="0" fontId="0" fillId="4" borderId="11" xfId="0" applyNumberFormat="1" applyFont="1" applyFill="1" applyBorder="1" applyAlignment="1">
      <x:alignment horizontal="center" wrapText="1"/>
    </x:xf>
    <x:xf numFmtId="0" fontId="0" fillId="4" borderId="12" xfId="0" applyNumberFormat="1" applyFont="1" applyFill="1" applyBorder="1" applyAlignment="1">
      <x:alignment horizontal="center" wrapText="1"/>
    </x:xf>
    <x:xf numFmtId="0" fontId="0" fillId="4" borderId="13" xfId="0" applyNumberFormat="1" applyFont="1" applyFill="1" applyBorder="1" applyAlignment="1">
      <x:alignment horizontal="center" wrapText="1"/>
    </x:xf>
    <x:xf numFmtId="0" fontId="0" fillId="4" borderId="14" xfId="0" applyNumberFormat="1" applyFont="1" applyFill="1" applyBorder="1" applyAlignment="1">
      <x:alignment horizontal="center" wrapText="1"/>
    </x:xf>
    <x:xf numFmtId="0" fontId="0" fillId="4" borderId="15" xfId="0" applyNumberFormat="1" applyFont="1" applyFill="1" applyBorder="1" applyAlignment="1">
      <x:alignment horizontal="center" wrapText="1"/>
    </x:xf>
    <x:xf numFmtId="0" fontId="0" fillId="4" borderId="16" xfId="0" applyNumberFormat="1" applyFont="1" applyFill="1" applyBorder="1" applyAlignment="1">
      <x:alignment horizontal="center" wrapText="1"/>
    </x:xf>
    <x:xf numFmtId="0" fontId="0" fillId="4" borderId="17" xfId="0" applyNumberFormat="1" applyFont="1" applyFill="1" applyBorder="1" applyAlignment="1">
      <x:alignment horizontal="center" wrapText="1"/>
    </x:xf>
    <x:xf numFmtId="200" fontId="0" fillId="4" borderId="18" xfId="0" applyNumberFormat="1" applyFont="1" applyFill="1" applyBorder="1" applyAlignment="1">
      <x:alignment horizontal="center" wrapText="1"/>
    </x:xf>
    <x:xf numFmtId="0" fontId="0" fillId="4" borderId="18" xfId="0" applyNumberFormat="1" applyFont="1" applyFill="1" applyBorder="1" applyAlignment="1">
      <x:alignment horizontal="center" wrapText="1"/>
    </x:xf>
    <x:xf numFmtId="0" fontId="0" fillId="4" borderId="19" xfId="0" applyNumberFormat="1" applyFont="1" applyFill="1" applyBorder="1" applyAlignment="1">
      <x:alignment horizontal="center" wrapText="1"/>
    </x:xf>
    <x:xf numFmtId="0" fontId="0" fillId="4" borderId="2" xfId="0" applyNumberFormat="1" applyFont="1" applyFill="1" applyBorder="1" applyAlignment="1">
      <x:alignment horizontal="center" vertical="center" wrapText="1"/>
    </x:xf>
    <x:xf numFmtId="0" fontId="0" fillId="4" borderId="3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 applyAlignment="1">
      <x:alignment horizontal="center" vertical="center" wrapText="1"/>
    </x:xf>
    <x:xf numFmtId="0" fontId="0" fillId="4" borderId="5" xfId="0" applyNumberFormat="1" applyFont="1" applyFill="1" applyBorder="1" applyAlignment="1">
      <x:alignment horizontal="center" vertical="center" wrapText="1"/>
    </x:xf>
    <x:xf numFmtId="0" fontId="0" fillId="4" borderId="6" xfId="0" applyNumberFormat="1" applyFont="1" applyFill="1" applyBorder="1" applyAlignment="1">
      <x:alignment horizontal="center" vertical="center" wrapText="1"/>
    </x:xf>
    <x:xf numFmtId="0" fontId="0" fillId="4" borderId="7" xfId="0" applyNumberFormat="1" applyFont="1" applyFill="1" applyBorder="1" applyAlignment="1">
      <x:alignment horizontal="center" vertical="center" wrapText="1"/>
    </x:xf>
    <x:xf numFmtId="0" fontId="0" fillId="4" borderId="8" xfId="0" applyNumberFormat="1" applyFont="1" applyFill="1" applyBorder="1" applyAlignment="1">
      <x:alignment horizontal="center" vertical="center" wrapText="1"/>
    </x:xf>
    <x:xf numFmtId="200" fontId="0" fillId="4" borderId="9" xfId="0" applyNumberFormat="1" applyFont="1" applyFill="1" applyBorder="1" applyAlignment="1">
      <x:alignment horizontal="center" vertical="center" wrapText="1"/>
    </x:xf>
    <x:xf numFmtId="0" fontId="0" fillId="4" borderId="9" xfId="0" applyNumberFormat="1" applyFont="1" applyFill="1" applyBorder="1" applyAlignment="1">
      <x:alignment horizontal="center" vertical="center" wrapText="1"/>
    </x:xf>
    <x:xf numFmtId="0" fontId="0" fillId="4" borderId="10" xfId="0" applyNumberFormat="1" applyFont="1" applyFill="1" applyBorder="1" applyAlignment="1">
      <x:alignment horizontal="center" vertical="center" wrapText="1"/>
    </x:xf>
    <x:xf numFmtId="0" fontId="0" fillId="4" borderId="11" xfId="0" applyNumberFormat="1" applyFont="1" applyFill="1" applyBorder="1" applyAlignment="1">
      <x:alignment horizontal="center" vertical="center" wrapText="1"/>
    </x:xf>
    <x:xf numFmtId="0" fontId="0" fillId="4" borderId="12" xfId="0" applyNumberFormat="1" applyFont="1" applyFill="1" applyBorder="1" applyAlignment="1">
      <x:alignment horizontal="center" vertical="center" wrapText="1"/>
    </x:xf>
    <x:xf numFmtId="0" fontId="0" fillId="4" borderId="13" xfId="0" applyNumberFormat="1" applyFont="1" applyFill="1" applyBorder="1" applyAlignment="1">
      <x:alignment horizontal="center" vertical="center" wrapText="1"/>
    </x:xf>
    <x:xf numFmtId="0" fontId="0" fillId="4" borderId="14" xfId="0" applyNumberFormat="1" applyFont="1" applyFill="1" applyBorder="1" applyAlignment="1">
      <x:alignment horizontal="center" vertical="center" wrapText="1"/>
    </x:xf>
    <x:xf numFmtId="0" fontId="0" fillId="4" borderId="15" xfId="0" applyNumberFormat="1" applyFont="1" applyFill="1" applyBorder="1" applyAlignment="1">
      <x:alignment horizontal="center" vertical="center" wrapText="1"/>
    </x:xf>
    <x:xf numFmtId="0" fontId="0" fillId="4" borderId="16" xfId="0" applyNumberFormat="1" applyFont="1" applyFill="1" applyBorder="1" applyAlignment="1">
      <x:alignment horizontal="center" vertical="center" wrapText="1"/>
    </x:xf>
    <x:xf numFmtId="0" fontId="0" fillId="4" borderId="17" xfId="0" applyNumberFormat="1" applyFont="1" applyFill="1" applyBorder="1" applyAlignment="1">
      <x:alignment horizontal="center" vertical="center" wrapText="1"/>
    </x:xf>
    <x:xf numFmtId="200" fontId="0" fillId="4" borderId="18" xfId="0" applyNumberFormat="1" applyFont="1" applyFill="1" applyBorder="1" applyAlignment="1">
      <x:alignment horizontal="center" vertical="center" wrapText="1"/>
    </x:xf>
    <x:xf numFmtId="0" fontId="0" fillId="4" borderId="18" xfId="0" applyNumberFormat="1" applyFont="1" applyFill="1" applyBorder="1" applyAlignment="1">
      <x:alignment horizontal="center" vertical="center" wrapText="1"/>
    </x:xf>
    <x:xf numFmtId="0" fontId="0" fillId="4" borderId="19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horizontal="center" vertical="center" wrapText="1"/>
    </x:xf>
    <x:xf numFmtId="0" fontId="0" fillId="6" borderId="5" xfId="0" applyNumberFormat="1" applyFont="1" applyFill="1" applyBorder="1" applyAlignment="1">
      <x:alignment horizontal="center" vertical="center" wrapText="1"/>
    </x:xf>
    <x:xf numFmtId="0" fontId="0" fillId="6" borderId="8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0" fillId="6" borderId="11" xfId="0" applyNumberFormat="1" applyFont="1" applyFill="1" applyBorder="1" applyAlignment="1">
      <x:alignment horizontal="center" vertical="center" wrapText="1"/>
    </x:xf>
    <x:xf numFmtId="0" fontId="0" fillId="6" borderId="14" xfId="0" applyNumberFormat="1" applyFont="1" applyFill="1" applyBorder="1" applyAlignment="1">
      <x:alignment horizontal="center" vertical="center" wrapText="1"/>
    </x:xf>
    <x:xf numFmtId="0" fontId="0" fillId="6" borderId="17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 applyAlignment="1">
      <x:alignment horizontal="center" vertical="center" wrapText="1"/>
    </x:xf>
    <x:xf numFmtId="200" fontId="0" fillId="6" borderId="9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6" xfId="0" applyNumberFormat="1" applyFont="1" applyFill="1" applyBorder="1" applyAlignment="1">
      <x:alignment horizontal="center" vertical="center" wrapText="1"/>
    </x:xf>
    <x:xf numFmtId="200" fontId="4" fillId="6" borderId="9" xfId="0" applyNumberFormat="1" applyFont="1" applyFill="1" applyBorder="1" applyAlignment="1">
      <x:alignment horizontal="center" vertical="center" wrapText="1"/>
    </x:xf>
    <x:xf numFmtId="0" fontId="0" fillId="6" borderId="12" xfId="0" applyNumberFormat="1" applyFont="1" applyFill="1" applyBorder="1" applyAlignment="1">
      <x:alignment horizontal="center" vertical="center" wrapText="1"/>
    </x:xf>
    <x:xf numFmtId="0" fontId="0" fillId="6" borderId="15" xfId="0" applyNumberFormat="1" applyFont="1" applyFill="1" applyBorder="1" applyAlignment="1">
      <x:alignment horizontal="center" vertical="center" wrapText="1"/>
    </x:xf>
    <x:xf numFmtId="200" fontId="0" fillId="6" borderId="18" xfId="0" applyNumberFormat="1" applyFont="1" applyFill="1" applyBorder="1" applyAlignment="1">
      <x:alignment horizontal="center" vertical="center" wrapText="1"/>
    </x:xf>
    <x:xf numFmtId="0" fontId="4" fillId="6" borderId="12" xfId="0" applyNumberFormat="1" applyFont="1" applyFill="1" applyBorder="1" applyAlignment="1">
      <x:alignment horizontal="center" vertical="center" wrapText="1"/>
    </x:xf>
    <x:xf numFmtId="0" fontId="4" fillId="6" borderId="15" xfId="0" applyNumberFormat="1" applyFont="1" applyFill="1" applyBorder="1" applyAlignment="1">
      <x:alignment horizontal="center" vertical="center" wrapText="1"/>
    </x:xf>
    <x:xf numFmtId="200" fontId="4" fillId="6" borderId="18" xfId="0" applyNumberFormat="1" applyFont="1" applyFill="1" applyBorder="1" applyAlignment="1">
      <x:alignment horizontal="center" vertical="center" wrapText="1"/>
    </x:xf>
    <x:xf numFmtId="0" fontId="0" fillId="6" borderId="9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horizontal="center" vertical="center" wrapText="1"/>
    </x:xf>
    <x:xf numFmtId="0" fontId="0" fillId="6" borderId="18" xfId="0" applyNumberFormat="1" applyFont="1" applyFill="1" applyBorder="1" applyAlignment="1">
      <x:alignment horizontal="center" vertical="center" wrapText="1"/>
    </x:xf>
    <x:xf numFmtId="0" fontId="4" fillId="6" borderId="18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7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color rgb="5B21B6"/>
      </x:font>
      <x:fill>
        <x:patternFill patternType="solid">
          <x:bgColor rgb="EDE9FE"/>
        </x:patternFill>
      </x:fill>
    </x:dxf>
    <x:dxf>
      <x:font>
        <x:color rgb="047857"/>
      </x:font>
      <x:fill>
        <x:patternFill patternType="solid">
          <x:bgColor rgb="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ca73e64f54217" /><Relationship Type="http://schemas.openxmlformats.org/officeDocument/2006/relationships/theme" Target="/xl/theme/theme1.xml" Id="R00a55c97c04c46e8" /><Relationship Type="http://schemas.openxmlformats.org/officeDocument/2006/relationships/sharedStrings" Target="/xl/sharedStrings.xml" Id="R9b144ab1d82e49e2" /><Relationship Type="http://schemas.openxmlformats.org/officeDocument/2006/relationships/worksheet" Target="/xl/worksheets/sheet1.xml" Id="R3c7bccaa92464a0f" /></Relationships>
</file>

<file path=xl/tables/table1.xml><?xml version="1.0" encoding="utf-8"?>
<x:table xmlns:x="http://schemas.openxmlformats.org/spreadsheetml/2006/main" id="1" name="IntegratedChecklist" displayName="IntegratedChecklist" ref="A8:O88" headerRowCount="1">
  <x:tableColumns count="15">
    <x:tableColumn id="1" name="연번"/>
    <x:tableColumn id="2" name="Phase"/>
    <x:tableColumn id="3" name="모듈"/>
    <x:tableColumn id="4" name="내가 해야 할 것"/>
    <x:tableColumn id="5" name="목적/이유"/>
    <x:tableColumn id="6" name="산출물"/>
    <x:tableColumn id="7" name="우선순위"/>
    <x:tableColumn id="8" name="난이도"/>
    <x:tableColumn id="9" name="상태"/>
    <x:tableColumn id="10" name="선행조건"/>
    <x:tableColumn id="11" name="완료 기준"/>
    <x:tableColumn id="12" name="AI/선물/에이전트 반영"/>
    <x:tableColumn id="13" name="Claude Code 작업 프롬프트"/>
    <x:tableColumn id="14" name="주의/리스크"/>
    <x:tableColumn id="15" name="참고/출처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e2393bc5af405a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0" hidden="0" customWidth="1"/>
    <x:col min="3" max="3" width="18" hidden="0" customWidth="1"/>
    <x:col min="4" max="4" width="36" hidden="0" customWidth="1"/>
    <x:col min="5" max="5" width="34" hidden="0" customWidth="1"/>
    <x:col min="6" max="6" width="24" hidden="0" customWidth="1"/>
    <x:col min="7" max="7" width="12" hidden="0" customWidth="1"/>
    <x:col min="8" max="8" width="10" hidden="0" customWidth="1"/>
    <x:col min="9" max="9" width="10" hidden="0" customWidth="1"/>
    <x:col min="10" max="10" width="18" hidden="0" customWidth="1"/>
    <x:col min="11" max="11" width="32" hidden="0" customWidth="1"/>
    <x:col min="12" max="12" width="30" hidden="0" customWidth="1"/>
    <x:col min="13" max="13" width="40" hidden="0" customWidth="1"/>
    <x:col min="14" max="14" width="30" hidden="0" customWidth="1"/>
    <x:col min="15" max="15" width="32" hidden="0" customWidth="1"/>
  </x:cols>
  <x:sheetData>
    <x:row r="1" ht="30" customHeight="1">
      <x:c r="A1" s="5" t="str">
        <x:v>AI·선물 확장형 자동매매 프로그램 통합 로드맵/체크리스트</x:v>
      </x:c>
    </x:row>
    <x:row r="2">
      <x:c r="A2" s="12" t="str">
        <x:v>작성일: 2026-05-05 / 원칙: 수동→AI Assist→AI 제한 실행, 주식 MVP 후 선물 분리 확장, 모든 주문은 RiskManager 통과</x:v>
      </x:c>
    </x:row>
    <x:row r="4" ht="22" customHeight="1">
      <x:c r="A4" s="165" t="str">
        <x:v>전체 항목</x:v>
      </x:c>
      <x:c r="B4" s="143" t="n">
        <x:f>COUNTA(A9:A88)</x:f>
        <x:v>80</x:v>
      </x:c>
      <x:c r="C4" s="177" t="str">
        <x:v>완료</x:v>
      </x:c>
      <x:c r="D4" s="143" t="n">
        <x:f>COUNTIF(I9:I88,"완료")</x:f>
        <x:v>0</x:v>
      </x:c>
      <x:c r="E4" s="177" t="str">
        <x:v>진행중</x:v>
      </x:c>
      <x:c r="F4" s="143" t="n">
        <x:f>COUNTIF(I9:I88,"진행중")</x:f>
        <x:v>0</x:v>
      </x:c>
      <x:c r="G4" s="177" t="str">
        <x:v>보류</x:v>
      </x:c>
      <x:c r="H4" s="144" t="n">
        <x:f>COUNTIF(I9:I88,"보류")</x:f>
        <x:v>0</x:v>
      </x:c>
    </x:row>
    <x:row r="5" ht="22" customHeight="1">
      <x:c r="A5" s="166" t="str">
        <x:v>미착수</x:v>
      </x:c>
      <x:c r="B5" s="146" t="n">
        <x:f>COUNTIF(I9:I88,"미착수")</x:f>
        <x:v>80</x:v>
      </x:c>
      <x:c r="C5" s="178" t="str">
        <x:v>P0 필수</x:v>
      </x:c>
      <x:c r="D5" s="146" t="n">
        <x:f>COUNTIF(G9:G88,"P0-필수")</x:f>
        <x:v>47</x:v>
      </x:c>
      <x:c r="E5" s="178" t="str">
        <x:v>AI 관련</x:v>
      </x:c>
      <x:c r="F5" s="146" t="n">
        <x:f>COUNTIF(L9:L88,"*AI*")</x:f>
        <x:v>0</x:v>
      </x:c>
      <x:c r="G5" s="178" t="str">
        <x:v>선물 관련</x:v>
      </x:c>
      <x:c r="H5" s="147" t="n">
        <x:f>COUNTIF(C9:C88,"*Futures*")+COUNTIF(L9:L88,"*선물*")</x:f>
        <x:v>0</x:v>
      </x:c>
    </x:row>
    <x:row r="6" ht="22" customHeight="1">
      <x:c r="A6" s="167" t="str">
        <x:v>완료율</x:v>
      </x:c>
      <x:c r="B6" s="149" t="n">
        <x:f>IFERROR(D4/B4,0)</x:f>
        <x:v>0</x:v>
      </x:c>
      <x:c r="C6" s="179" t="str">
        <x:v>P0 완료율</x:v>
      </x:c>
      <x:c r="D6" s="149" t="n">
        <x:f>IFERROR(COUNTIFS(G9:G88,"P0-필수",I9:I88,"완료")/COUNTIF(G9:G88,"P0-필수"),0)</x:f>
        <x:v>0</x:v>
      </x:c>
      <x:c r="E6" s="187" t="str">
        <x:v>권장 착수</x:v>
      </x:c>
      <x:c r="F6" s="150" t="str">
        <x:v>연번 1부터 순차 진행</x:v>
      </x:c>
      <x:c r="G6" s="187" t="str">
        <x:v>실거래 원칙</x:v>
      </x:c>
      <x:c r="H6" s="151" t="str">
        <x:v>초기 수동승인</x:v>
      </x:c>
    </x:row>
    <x:row r="8" ht="28" customHeight="1">
      <x:c r="A8" s="42" t="str">
        <x:v>연번</x:v>
      </x:c>
      <x:c r="B8" s="42" t="str">
        <x:v>Phase</x:v>
      </x:c>
      <x:c r="C8" s="42" t="str">
        <x:v>모듈</x:v>
      </x:c>
      <x:c r="D8" s="42" t="str">
        <x:v>내가 해야 할 것</x:v>
      </x:c>
      <x:c r="E8" s="42" t="str">
        <x:v>목적/이유</x:v>
      </x:c>
      <x:c r="F8" s="42" t="str">
        <x:v>산출물</x:v>
      </x:c>
      <x:c r="G8" s="42" t="str">
        <x:v>우선순위</x:v>
      </x:c>
      <x:c r="H8" s="42" t="str">
        <x:v>난이도</x:v>
      </x:c>
      <x:c r="I8" s="42" t="str">
        <x:v>상태</x:v>
      </x:c>
      <x:c r="J8" s="42" t="str">
        <x:v>선행조건</x:v>
      </x:c>
      <x:c r="K8" s="42" t="str">
        <x:v>완료 기준</x:v>
      </x:c>
      <x:c r="L8" s="42" t="str">
        <x:v>AI/선물/에이전트 반영</x:v>
      </x:c>
      <x:c r="M8" s="42" t="str">
        <x:v>Claude Code 작업 프롬프트</x:v>
      </x:c>
      <x:c r="N8" s="42" t="str">
        <x:v>주의/리스크</x:v>
      </x:c>
      <x:c r="O8" s="42" t="str">
        <x:v>참고/출처</x:v>
      </x:c>
    </x:row>
    <x:row r="9" ht="48" customHeight="1">
      <x:c r="A9" s="66" t="n">
        <x:v>1</x:v>
      </x:c>
      <x:c r="B9" s="67" t="str">
        <x:v>0. 방향 확정</x:v>
      </x:c>
      <x:c r="C9" s="67" t="str">
        <x:v>Project Governance</x:v>
      </x:c>
      <x:c r="D9" s="67" t="str">
        <x:v>프로젝트 목적을 '검증 가능한 리스크 제한형 자동매매 연구 플랫폼'으로 재정의한다.</x:v>
      </x:c>
      <x:c r="E9" s="67" t="str">
        <x:v>처음부터 완전 자동 수익 시스템으로 접근하면 통제와 검증이 무너질 수 있음.</x:v>
      </x:c>
      <x:c r="F9" s="67" t="str">
        <x:v>프로젝트 원칙 문서 1p</x:v>
      </x:c>
      <x:c r="G9" s="67" t="str">
        <x:v>P0-필수</x:v>
      </x:c>
      <x:c r="H9" s="67" t="str">
        <x:v>중간</x:v>
      </x:c>
      <x:c r="I9" s="67" t="str">
        <x:v>미착수</x:v>
      </x:c>
      <x:c r="J9" s="67" t="str"/>
      <x:c r="K9" s="67" t="str">
        <x:v>수동→반자동→AI 제안→AI 실행의 단계가 문서화됨</x:v>
      </x:c>
      <x:c r="L9" s="67" t="str">
        <x:v>AI 자동매매는 최종 단계로만 허용</x:v>
      </x:c>
      <x:c r="M9" s="67" t="str">
        <x:v>CLAUDE.md에 프로젝트 원칙, 금지사항, 단계별 운용모드를 작성해줘.</x:v>
      </x:c>
      <x:c r="N9" s="67" t="str">
        <x:v>AI 직접 주문 금지 원칙을 초기에 코드/문서에 모두 반영</x:v>
      </x:c>
      <x:c r="O9" s="68" t="str"/>
    </x:row>
    <x:row r="10" ht="48" customHeight="1">
      <x:c r="A10" s="69" t="n">
        <x:v>2</x:v>
      </x:c>
      <x:c r="B10" s="70" t="str">
        <x:v>0. 방향 확정</x:v>
      </x:c>
      <x:c r="C10" s="70" t="str">
        <x:v>Scope</x:v>
      </x:c>
      <x:c r="D10" s="70" t="str">
        <x:v>1차 범위를 국내주식 단타 + 모의투자 + PWA 관제앱으로 제한한다.</x:v>
      </x:c>
      <x:c r="E10" s="70" t="str">
        <x:v>주식·선물·뉴스·트렌드·AI까지 한 번에 구현하면 디버깅 불가능.</x:v>
      </x:c>
      <x:c r="F10" s="70" t="str">
        <x:v>MVP 범위 정의서</x:v>
      </x:c>
      <x:c r="G10" s="70" t="str">
        <x:v>P0-필수</x:v>
      </x:c>
      <x:c r="H10" s="70" t="str">
        <x:v>중간</x:v>
      </x:c>
      <x:c r="I10" s="70" t="str">
        <x:v>미착수</x:v>
      </x:c>
      <x:c r="J10" s="70" t="str"/>
      <x:c r="K10" s="70" t="str">
        <x:v>1차 포함/제외 기능 목록이 명확함</x:v>
      </x:c>
      <x:c r="L10" s="70" t="str">
        <x:v>선물은 Phase 8 이후로 분리</x:v>
      </x:c>
      <x:c r="M10" s="70" t="str">
        <x:v>README에 MVP 범위와 제외 기능을 표로 정리해줘.</x:v>
      </x:c>
      <x:c r="N10" s="70" t="str">
        <x:v>처음부터 선물 실거래 포함 금지</x:v>
      </x:c>
      <x:c r="O10" s="71" t="str"/>
    </x:row>
    <x:row r="11" ht="48" customHeight="1">
      <x:c r="A11" s="69" t="n">
        <x:v>3</x:v>
      </x:c>
      <x:c r="B11" s="70" t="str">
        <x:v>0. 방향 확정</x:v>
      </x:c>
      <x:c r="C11" s="70" t="str">
        <x:v>Operation Mode</x:v>
      </x:c>
      <x:c r="D11" s="70" t="str">
        <x:v>운용모드를 SIMULATION, PAPER, LIVE_SHADOW, LIVE_MANUAL_APPROVAL, LIVE_AI_ASSIST, LIVE_AI_EXECUTION으로 정의한다.</x:v>
      </x:c>
      <x:c r="E11" s="70" t="str">
        <x:v>AI 자동매매를 바로 허용하지 않고 단계별 안전장치를 두기 위함.</x:v>
      </x:c>
      <x:c r="F11" s="70" t="str">
        <x:v>운용모드 정책표</x:v>
      </x:c>
      <x:c r="G11" s="70" t="str">
        <x:v>P0-필수</x:v>
      </x:c>
      <x:c r="H11" s="70" t="str">
        <x:v>중간</x:v>
      </x:c>
      <x:c r="I11" s="70" t="str">
        <x:v>미착수</x:v>
      </x:c>
      <x:c r="J11" s="70" t="str"/>
      <x:c r="K11" s="70" t="str">
        <x:v>각 모드별 주문 가능/불가능 조건이 정의됨</x:v>
      </x:c>
      <x:c r="L11" s="70" t="str">
        <x:v>AI 매수·매도는 LIVE_AI_EXECUTION에서만 가능</x:v>
      </x:c>
      <x:c r="M11" s="70" t="str">
        <x:v>backend/app/core/modes.py에 운용모드 enum과 허용 기능표를 만들어줘.</x:v>
      </x:c>
      <x:c r="N11" s="70" t="str">
        <x:v>기본값은 반드시 SIMULATION 또는 PAPER</x:v>
      </x:c>
      <x:c r="O11" s="71" t="str"/>
    </x:row>
    <x:row r="12" ht="48" customHeight="1">
      <x:c r="A12" s="69" t="n">
        <x:v>4</x:v>
      </x:c>
      <x:c r="B12" s="70" t="str">
        <x:v>0. 방향 확정</x:v>
      </x:c>
      <x:c r="C12" s="70" t="str">
        <x:v>Safety Policy</x:v>
      </x:c>
      <x:c r="D12" s="70" t="str">
        <x:v>실거래 승격 조건을 정한다: 백테스트, 모의투자, Shadow Mode, 소액 수동승인, AI 보조 순서.</x:v>
      </x:c>
      <x:c r="E12" s="70" t="str">
        <x:v>전략보다 승격 기준이 먼저 있어야 자금 손실을 줄일 수 있음.</x:v>
      </x:c>
      <x:c r="F12" s="70" t="str">
        <x:v>실거래 승격 기준표</x:v>
      </x:c>
      <x:c r="G12" s="70" t="str">
        <x:v>P0-필수</x:v>
      </x:c>
      <x:c r="H12" s="70" t="str">
        <x:v>중간</x:v>
      </x:c>
      <x:c r="I12" s="70" t="str">
        <x:v>미착수</x:v>
      </x:c>
      <x:c r="J12" s="70" t="str"/>
      <x:c r="K12" s="70" t="str">
        <x:v>최소 거래 수, 기대값, MDD, 손실한도 위반 0회 기준 포함</x:v>
      </x:c>
      <x:c r="L12" s="70" t="str">
        <x:v>AI 실행 전 사람 승인 기간 필수</x:v>
      </x:c>
      <x:c r="M12" s="70" t="str">
        <x:v>docs/promotion_policy.md에 단계별 승격 기준을 작성해줘.</x:v>
      </x:c>
      <x:c r="N12" s="70" t="str">
        <x:v>승률만 보고 승격 금지</x:v>
      </x:c>
      <x:c r="O12" s="71" t="str"/>
    </x:row>
    <x:row r="13" ht="48" customHeight="1">
      <x:c r="A13" s="69" t="n">
        <x:v>5</x:v>
      </x:c>
      <x:c r="B13" s="70" t="str">
        <x:v>0. 방향 확정</x:v>
      </x:c>
      <x:c r="C13" s="70" t="str">
        <x:v>Existing ZIP</x:v>
      </x:c>
      <x:c r="D13" s="70" t="str">
        <x:v>기존 ZIP은 frontend-prototype으로 살리고, 실제 엔진은 backend에 새로 만든다.</x:v>
      </x:c>
      <x:c r="E13" s="70" t="str">
        <x:v>현재 ZIP은 UI 프로토타입으로 가치가 있으나 랜덤 시뮬레이션 중심임.</x:v>
      </x:c>
      <x:c r="F13" s="70" t="str">
        <x:v>repo 구조 개편안</x:v>
      </x:c>
      <x:c r="G13" s="70" t="str">
        <x:v>P0-필수</x:v>
      </x:c>
      <x:c r="H13" s="70" t="str">
        <x:v>중간</x:v>
      </x:c>
      <x:c r="I13" s="70" t="str">
        <x:v>미착수</x:v>
      </x:c>
      <x:c r="J13" s="70" t="str"/>
      <x:c r="K13" s="70" t="str">
        <x:v>frontend/, backend/, docs/, tests/ 구조로 분리</x:v>
      </x:c>
      <x:c r="L13" s="70" t="str">
        <x:v>프론트는 관제/설정/승인 UI로 활용</x:v>
      </x:c>
      <x:c r="M13" s="70" t="str">
        <x:v>현재 React 앱을 frontend/로 이동하고 backend/ FastAPI 뼈대를 추가해줘.</x:v>
      </x:c>
      <x:c r="N13" s="70" t="str">
        <x:v>프론트에서 증권사/AI API Secret 호출 금지</x:v>
      </x:c>
      <x:c r="O13" s="71" t="str"/>
    </x:row>
    <x:row r="14" ht="48" customHeight="1">
      <x:c r="A14" s="69" t="n">
        <x:v>6</x:v>
      </x:c>
      <x:c r="B14" s="70" t="str">
        <x:v>1. 개발환경/GitHub</x:v>
      </x:c>
      <x:c r="C14" s="70" t="str">
        <x:v>Repository</x:v>
      </x:c>
      <x:c r="D14" s="70" t="str">
        <x:v>GitHub 저장소를 만들고 기존 ZIP을 frontend/ 폴더로 넣는다.</x:v>
      </x:c>
      <x:c r="E14" s="70" t="str">
        <x:v>Claude Code로 작업하려면 프로젝트 구조가 먼저 정리되어야 함.</x:v>
      </x:c>
      <x:c r="F14" s="70" t="str">
        <x:v>초기 GitHub repo</x:v>
      </x:c>
      <x:c r="G14" s="70" t="str">
        <x:v>P0-필수</x:v>
      </x:c>
      <x:c r="H14" s="70" t="str">
        <x:v>중간</x:v>
      </x:c>
      <x:c r="I14" s="70" t="str">
        <x:v>미착수</x:v>
      </x:c>
      <x:c r="J14" s="70" t="str"/>
      <x:c r="K14" s="70" t="str">
        <x:v>main/develop 브랜치 생성, .gitignore 적용</x:v>
      </x:c>
      <x:c r="L14" s="70" t="str"/>
      <x:c r="M14" s="70" t="str">
        <x:v>루트 README, .gitignore, frontend/ 배치, backend/ 빈 폴더를 생성해줘.</x:v>
      </x:c>
      <x:c r="N14" s="70" t="str">
        <x:v>.env, API key, 계좌번호 커밋 금지</x:v>
      </x:c>
      <x:c r="O14" s="71" t="str"/>
    </x:row>
    <x:row r="15" ht="48" customHeight="1">
      <x:c r="A15" s="69" t="n">
        <x:v>7</x:v>
      </x:c>
      <x:c r="B15" s="70" t="str">
        <x:v>1. 개발환경/GitHub</x:v>
      </x:c>
      <x:c r="C15" s="70" t="str">
        <x:v>Claude Code</x:v>
      </x:c>
      <x:c r="D15" s="70" t="str">
        <x:v>CLAUDE.md를 작성한다: 프로젝트 원칙, 폴더 구조, 금지사항, 모드 정책, 테스트 원칙 포함.</x:v>
      </x:c>
      <x:c r="E15" s="70" t="str">
        <x:v>Claude Code가 매번 같은 설계 원칙을 유지하게 하기 위함.</x:v>
      </x:c>
      <x:c r="F15" s="70" t="str">
        <x:v>CLAUDE.md</x:v>
      </x:c>
      <x:c r="G15" s="70" t="str">
        <x:v>P0-필수</x:v>
      </x:c>
      <x:c r="H15" s="70" t="str">
        <x:v>중간</x:v>
      </x:c>
      <x:c r="I15" s="70" t="str">
        <x:v>미착수</x:v>
      </x:c>
      <x:c r="J15" s="70" t="str"/>
      <x:c r="K15" s="70" t="str">
        <x:v>Claude Code가 AI 직접 주문 금지, RiskManager 우선 원칙을 인식</x:v>
      </x:c>
      <x:c r="L15" s="70" t="str">
        <x:v>에이전트 역할 경계 명시</x:v>
      </x:c>
      <x:c r="M15" s="70" t="str">
        <x:v>CLAUDE.md를 생성하고 프로젝트의 핵심 원칙과 작업 규칙을 작성해줘.</x:v>
      </x:c>
      <x:c r="N15" s="70" t="str">
        <x:v>Claude가 실거래 우선 코드를 만들지 않도록 금지사항 명확화</x:v>
      </x:c>
      <x:c r="O15" s="71" t="str"/>
    </x:row>
    <x:row r="16" ht="48" customHeight="1">
      <x:c r="A16" s="69" t="n">
        <x:v>8</x:v>
      </x:c>
      <x:c r="B16" s="70" t="str">
        <x:v>1. 개발환경/GitHub</x:v>
      </x:c>
      <x:c r="C16" s="70" t="str">
        <x:v>Tech Stack</x:v>
      </x:c>
      <x:c r="D16" s="70" t="str">
        <x:v>백엔드는 FastAPI + PostgreSQL + Redis, 프론트는 기존 React/Vite 또는 Next.js PWA로 결정한다.</x:v>
      </x:c>
      <x:c r="E16" s="70" t="str">
        <x:v>자동매매·분석·백테스트는 Python 생태계가 유리함.</x:v>
      </x:c>
      <x:c r="F16" s="70" t="str">
        <x:v>스택 결정 문서</x:v>
      </x:c>
      <x:c r="G16" s="70" t="str">
        <x:v>P0-필수</x:v>
      </x:c>
      <x:c r="H16" s="70" t="str">
        <x:v>중간</x:v>
      </x:c>
      <x:c r="I16" s="70" t="str">
        <x:v>미착수</x:v>
      </x:c>
      <x:c r="J16" s="70" t="str"/>
      <x:c r="K16" s="70" t="str">
        <x:v>개발/운영 스택과 실행 명령어가 README에 있음</x:v>
      </x:c>
      <x:c r="L16" s="70" t="str"/>
      <x:c r="M16" s="70" t="str">
        <x:v>backend FastAPI 프로젝트 기본 구조와 requirements.txt를 만들어줘.</x:v>
      </x:c>
      <x:c r="N16" s="70" t="str">
        <x:v>처음에는 단일 서버로 단순화, Kubernetes 등 과도한 인프라 금지</x:v>
      </x:c>
      <x:c r="O16" s="71" t="str"/>
    </x:row>
    <x:row r="17" ht="48" customHeight="1">
      <x:c r="A17" s="69" t="n">
        <x:v>9</x:v>
      </x:c>
      <x:c r="B17" s="70" t="str">
        <x:v>1. 개발환경/GitHub</x:v>
      </x:c>
      <x:c r="C17" s="70" t="str">
        <x:v>Security</x:v>
      </x:c>
      <x:c r="D17" s="70" t="str">
        <x:v>.env.example을 만들고 실제 Secret은 로컬 .env 또는 서버 Secret Manager에만 저장한다.</x:v>
      </x:c>
      <x:c r="E17" s="70" t="str">
        <x:v>증권사 API Key와 AI API Key 노출 방지.</x:v>
      </x:c>
      <x:c r="F17" s="70" t="str">
        <x:v>.env.example</x:v>
      </x:c>
      <x:c r="G17" s="70" t="str">
        <x:v>P0-필수</x:v>
      </x:c>
      <x:c r="H17" s="70" t="str">
        <x:v>중간</x:v>
      </x:c>
      <x:c r="I17" s="70" t="str">
        <x:v>미착수</x:v>
      </x:c>
      <x:c r="J17" s="70" t="str"/>
      <x:c r="K17" s="70" t="str">
        <x:v>실제 키 없이 실행 가이드만 존재</x:v>
      </x:c>
      <x:c r="L17" s="70" t="str"/>
      <x:c r="M17" s="70" t="str">
        <x:v>.env.example에 필요한 환경변수 이름만 작성하고 실제 값은 넣지 마.</x:v>
      </x:c>
      <x:c r="N17" s="70" t="str">
        <x:v>frontend에 appSecret/AI key 저장 금지</x:v>
      </x:c>
      <x:c r="O17" s="71" t="str"/>
    </x:row>
    <x:row r="18" ht="48" customHeight="1">
      <x:c r="A18" s="69" t="n">
        <x:v>10</x:v>
      </x:c>
      <x:c r="B18" s="70" t="str">
        <x:v>1. 개발환경/GitHub</x:v>
      </x:c>
      <x:c r="C18" s="70" t="str">
        <x:v>CI</x:v>
      </x:c>
      <x:c r="D18" s="70" t="str">
        <x:v>pytest, lint, type check를 GitHub Actions에 연결한다.</x:v>
      </x:c>
      <x:c r="E18" s="70" t="str">
        <x:v>Claude Code 수정 후 회귀 오류를 자동으로 잡기 위함.</x:v>
      </x:c>
      <x:c r="F18" s="70" t="str">
        <x:v>ci.yml</x:v>
      </x:c>
      <x:c r="G18" s="70" t="str">
        <x:v>P1-중요</x:v>
      </x:c>
      <x:c r="H18" s="70" t="str">
        <x:v>중간</x:v>
      </x:c>
      <x:c r="I18" s="70" t="str">
        <x:v>미착수</x:v>
      </x:c>
      <x:c r="J18" s="70" t="str"/>
      <x:c r="K18" s="70" t="str">
        <x:v>push 시 테스트 자동 실행</x:v>
      </x:c>
      <x:c r="L18" s="70" t="str"/>
      <x:c r="M18" s="70" t="str">
        <x:v>GitHub Actions workflow를 만들어 pytest와 ruff를 실행하게 해줘.</x:v>
      </x:c>
      <x:c r="N18" s="70" t="str">
        <x:v>실거래 배포 자동화는 나중에 분리</x:v>
      </x:c>
      <x:c r="O18" s="71" t="str"/>
    </x:row>
    <x:row r="19" ht="48" customHeight="1">
      <x:c r="A19" s="69" t="n">
        <x:v>11</x:v>
      </x:c>
      <x:c r="B19" s="70" t="str">
        <x:v>2. 브로커/API 준비</x:v>
      </x:c>
      <x:c r="C19" s="70" t="str">
        <x:v>Broker Selection</x:v>
      </x:c>
      <x:c r="D19" s="70" t="str">
        <x:v>1차 브로커를 KIS 또는 키움 REST 중 하나로 선택한다. 처음은 KIS 또는 MockBroker 권장.</x:v>
      </x:c>
      <x:c r="E19" s="70" t="str">
        <x:v>한 번에 여러 증권사를 붙이면 오류 원인 추적이 어려움.</x:v>
      </x:c>
      <x:c r="F19" s="70" t="str">
        <x:v>브로커 선택 메모</x:v>
      </x:c>
      <x:c r="G19" s="70" t="str">
        <x:v>P0-필수</x:v>
      </x:c>
      <x:c r="H19" s="70" t="str">
        <x:v>중간</x:v>
      </x:c>
      <x:c r="I19" s="70" t="str">
        <x:v>미착수</x:v>
      </x:c>
      <x:c r="J19" s="70" t="str"/>
      <x:c r="K19" s="70" t="str">
        <x:v>1차 브로커와 2차 브로커가 명확히 구분됨</x:v>
      </x:c>
      <x:c r="L19" s="70" t="str">
        <x:v>선물은 별도 FuturesBrokerAdapter로 분리</x:v>
      </x:c>
      <x:c r="M19" s="70" t="str">
        <x:v>docs/broker_selection.md에 KIS, 키움 REST, MockBroker 비교표를 작성해줘.</x:v>
      </x:c>
      <x:c r="N19" s="70" t="str"/>
      <x:c r="O19" s="71" t="str">
        <x:v>https://apiportal.koreainvestment.com/ ; https://openapi.kiwoom.com/</x:v>
      </x:c>
    </x:row>
    <x:row r="20" ht="48" customHeight="1">
      <x:c r="A20" s="69" t="n">
        <x:v>12</x:v>
      </x:c>
      <x:c r="B20" s="70" t="str">
        <x:v>2. 브로커/API 준비</x:v>
      </x:c>
      <x:c r="C20" s="70" t="str">
        <x:v>Broker Adapter</x:v>
      </x:c>
      <x:c r="D20" s="70" t="str">
        <x:v>BrokerAdapter 공통 인터페이스를 만든다: get_price, get_balance, get_positions, place_order, cancel_order, get_order_status.</x:v>
      </x:c>
      <x:c r="E20" s="70" t="str">
        <x:v>주식/선물/모의투자 브로커를 갈아끼울 수 있게 하기 위함.</x:v>
      </x:c>
      <x:c r="F20" s="70" t="str">
        <x:v>app/brokers/base.py</x:v>
      </x:c>
      <x:c r="G20" s="70" t="str">
        <x:v>P0-필수</x:v>
      </x:c>
      <x:c r="H20" s="70" t="str">
        <x:v>중간</x:v>
      </x:c>
      <x:c r="I20" s="70" t="str">
        <x:v>미착수</x:v>
      </x:c>
      <x:c r="J20" s="70" t="str"/>
      <x:c r="K20" s="70" t="str">
        <x:v>MockBroker, KisBroker가 같은 인터페이스를 구현</x:v>
      </x:c>
      <x:c r="L20" s="70" t="str">
        <x:v>FuturesBrokerAdapter도 같은 계열로 확장</x:v>
      </x:c>
      <x:c r="M20" s="70" t="str">
        <x:v>app/brokers/base.py에 BrokerAdapter 추상 클래스를 만들어줘.</x:v>
      </x:c>
      <x:c r="N20" s="70" t="str">
        <x:v>전략 코드가 특정 증권사 API에 직접 의존하지 않게 함</x:v>
      </x:c>
      <x:c r="O20" s="71" t="str"/>
    </x:row>
    <x:row r="21" ht="48" customHeight="1">
      <x:c r="A21" s="69" t="n">
        <x:v>13</x:v>
      </x:c>
      <x:c r="B21" s="70" t="str">
        <x:v>2. 브로커/API 준비</x:v>
      </x:c>
      <x:c r="C21" s="70" t="str">
        <x:v>Mock Broker</x:v>
      </x:c>
      <x:c r="D21" s="70" t="str">
        <x:v>MockBroker를 먼저 구현해 주문 접수, 체결, 잔고, 포지션을 가짜로 처리한다.</x:v>
      </x:c>
      <x:c r="E21" s="70" t="str">
        <x:v>실제 API 없이 프론트/백엔드/리스크 흐름을 검증.</x:v>
      </x:c>
      <x:c r="F21" s="70" t="str">
        <x:v>MockBrokerAdapter</x:v>
      </x:c>
      <x:c r="G21" s="70" t="str">
        <x:v>P0-필수</x:v>
      </x:c>
      <x:c r="H21" s="70" t="str">
        <x:v>중간</x:v>
      </x:c>
      <x:c r="I21" s="70" t="str">
        <x:v>미착수</x:v>
      </x:c>
      <x:c r="J21" s="70" t="str"/>
      <x:c r="K21" s="70" t="str">
        <x:v>가짜 주문 1건이 주문→체결→포지션에 반영됨</x:v>
      </x:c>
      <x:c r="L21" s="70" t="str"/>
      <x:c r="M21" s="70" t="str">
        <x:v>app/brokers/mock_broker.py에 메모리 기반 주문/체결/잔고 시뮬레이터를 만들어줘.</x:v>
      </x:c>
      <x:c r="N21" s="70" t="str">
        <x:v>Mock 결과를 실제 수익으로 오해하지 않도록 UI에 표시</x:v>
      </x:c>
      <x:c r="O21" s="71" t="str"/>
    </x:row>
    <x:row r="22" ht="48" customHeight="1">
      <x:c r="A22" s="69" t="n">
        <x:v>14</x:v>
      </x:c>
      <x:c r="B22" s="70" t="str">
        <x:v>2. 브로커/API 준비</x:v>
      </x:c>
      <x:c r="C22" s="70" t="str">
        <x:v>KIS API</x:v>
      </x:c>
      <x:c r="D22" s="70" t="str">
        <x:v>KIS 개발자센터 가입, 모의투자 계좌, APP Key/Secret 발급, OAuth 토큰 발급 테스트를 수행한다.</x:v>
      </x:c>
      <x:c r="E22" s="70" t="str">
        <x:v>실제 시세/주문 API 사용의 전제조건.</x:v>
      </x:c>
      <x:c r="F22" s="70" t="str">
        <x:v>KIS 연결 테스트 로그</x:v>
      </x:c>
      <x:c r="G22" s="70" t="str">
        <x:v>P0-필수</x:v>
      </x:c>
      <x:c r="H22" s="70" t="str">
        <x:v>중간</x:v>
      </x:c>
      <x:c r="I22" s="70" t="str">
        <x:v>미착수</x:v>
      </x:c>
      <x:c r="J22" s="70" t="str"/>
      <x:c r="K22" s="70" t="str">
        <x:v>토큰 발급 및 계좌 조회 성공</x:v>
      </x:c>
      <x:c r="L22" s="70" t="str"/>
      <x:c r="M22" s="70" t="str">
        <x:v>app/brokers/kis_broker.py에 토큰 발급과 계좌 조회만 먼저 구현해줘.</x:v>
      </x:c>
      <x:c r="N22" s="70" t="str">
        <x:v>실제 Secret은 .env에만 저장</x:v>
      </x:c>
      <x:c r="O22" s="71" t="str">
        <x:v>https://apiportal.koreainvestment.com/ ; https://github.com/koreainvestment/open-trading-api</x:v>
      </x:c>
    </x:row>
    <x:row r="23" ht="48" customHeight="1">
      <x:c r="A23" s="69" t="n">
        <x:v>15</x:v>
      </x:c>
      <x:c r="B23" s="70" t="str">
        <x:v>2. 브로커/API 준비</x:v>
      </x:c>
      <x:c r="C23" s="70" t="str">
        <x:v>Kiwoom REST</x:v>
      </x:c>
      <x:c r="D23" s="70" t="str">
        <x:v>키움 REST API는 2차 브로커로 남기고, 계좌등록·모의투자·주문 명세를 조사한다.</x:v>
      </x:c>
      <x:c r="E23" s="70" t="str">
        <x:v>키움 조건검색/국내주식 기능 확장 여지 확보.</x:v>
      </x:c>
      <x:c r="F23" s="70" t="str">
        <x:v>Kiwoom REST 조사표</x:v>
      </x:c>
      <x:c r="G23" s="70" t="str">
        <x:v>P1-중요</x:v>
      </x:c>
      <x:c r="H23" s="70" t="str">
        <x:v>중간</x:v>
      </x:c>
      <x:c r="I23" s="70" t="str">
        <x:v>미착수</x:v>
      </x:c>
      <x:c r="J23" s="70" t="str"/>
      <x:c r="K23" s="70" t="str">
        <x:v>키움 REST에서 필요한 시세/주문/조건검색 API 목록 확보</x:v>
      </x:c>
      <x:c r="L23" s="70" t="str"/>
      <x:c r="M23" s="70" t="str">
        <x:v>docs/kiwoom_rest_research.md에 키움 REST 연동 항목을 정리해줘.</x:v>
      </x:c>
      <x:c r="N23" s="70" t="str">
        <x:v>기존 OpenAPI+ COM/OCX와 REST를 혼동하지 않기</x:v>
      </x:c>
      <x:c r="O23" s="71" t="str">
        <x:v>https://openapi.kiwoom.com/ ; https://www.kiwoom.com/h/customer/download/VOpenApiInfoView</x:v>
      </x:c>
    </x:row>
    <x:row r="24" ht="48" customHeight="1">
      <x:c r="A24" s="69" t="n">
        <x:v>16</x:v>
      </x:c>
      <x:c r="B24" s="70" t="str">
        <x:v>2. 브로커/API 준비</x:v>
      </x:c>
      <x:c r="C24" s="70" t="str">
        <x:v>Rate Limit</x:v>
      </x:c>
      <x:c r="D24" s="70" t="str">
        <x:v>브로커별 호출 제한, 주문 제한, 오류코드, 장운영 시간표를 정리한다.</x:v>
      </x:c>
      <x:c r="E24" s="70" t="str">
        <x:v>호출 초과와 주문 거절을 줄이기 위함.</x:v>
      </x:c>
      <x:c r="F24" s="70" t="str">
        <x:v>API 제한사항 표</x:v>
      </x:c>
      <x:c r="G24" s="70" t="str">
        <x:v>P0-필수</x:v>
      </x:c>
      <x:c r="H24" s="70" t="str">
        <x:v>중간</x:v>
      </x:c>
      <x:c r="I24" s="70" t="str">
        <x:v>미착수</x:v>
      </x:c>
      <x:c r="J24" s="70" t="str"/>
      <x:c r="K24" s="70" t="str">
        <x:v>RateLimiter 정책이 코드화됨</x:v>
      </x:c>
      <x:c r="L24" s="70" t="str"/>
      <x:c r="M24" s="70" t="str">
        <x:v>app/core/rate_limiter.py와 docs/api_limits.md를 만들어줘.</x:v>
      </x:c>
      <x:c r="N24" s="70" t="str">
        <x:v>호출 실패 시 재시도 폭주 방지</x:v>
      </x:c>
      <x:c r="O24" s="71" t="str"/>
    </x:row>
    <x:row r="25" ht="48" customHeight="1">
      <x:c r="A25" s="69" t="n">
        <x:v>17</x:v>
      </x:c>
      <x:c r="B25" s="70" t="str">
        <x:v>3. 데이터/DB</x:v>
      </x:c>
      <x:c r="C25" s="70" t="str">
        <x:v>Database</x:v>
      </x:c>
      <x:c r="D25" s="70" t="str">
        <x:v>PostgreSQL 스키마를 설계한다: symbols, watchlists, ticks, candles, orders, trades, positions, strategy_runs, risk_events, agent_reports.</x:v>
      </x:c>
      <x:c r="E25" s="70" t="str">
        <x:v>자동매매는 기록이 없으면 검증도 개선도 불가능.</x:v>
      </x:c>
      <x:c r="F25" s="70" t="str">
        <x:v>schema.sql 또는 Alembic migration</x:v>
      </x:c>
      <x:c r="G25" s="70" t="str">
        <x:v>P0-필수</x:v>
      </x:c>
      <x:c r="H25" s="70" t="str">
        <x:v>중간</x:v>
      </x:c>
      <x:c r="I25" s="70" t="str">
        <x:v>미착수</x:v>
      </x:c>
      <x:c r="J25" s="70" t="str"/>
      <x:c r="K25" s="70" t="str">
        <x:v>테이블 생성 및 기본 인덱스 적용</x:v>
      </x:c>
      <x:c r="L25" s="70" t="str"/>
      <x:c r="M25" s="70" t="str">
        <x:v>SQLAlchemy 모델과 Alembic 마이그레이션을 만들어줘.</x:v>
      </x:c>
      <x:c r="N25" s="70" t="str">
        <x:v>틱/분봉 테이블은 시간 인덱스 필수</x:v>
      </x:c>
      <x:c r="O25" s="71" t="str"/>
    </x:row>
    <x:row r="26" ht="48" customHeight="1">
      <x:c r="A26" s="69" t="n">
        <x:v>18</x:v>
      </x:c>
      <x:c r="B26" s="70" t="str">
        <x:v>3. 데이터/DB</x:v>
      </x:c>
      <x:c r="C26" s="70" t="str">
        <x:v>Watchlist</x:v>
      </x:c>
      <x:c r="D26" s="70" t="str">
        <x:v>초기 관심종목 50~200개를 수동 등록한다.</x:v>
      </x:c>
      <x:c r="E26" s="70" t="str">
        <x:v>초기에는 전체시장보다 제한된 대상이 디버깅에 유리.</x:v>
      </x:c>
      <x:c r="F26" s="70" t="str">
        <x:v>watchlist 테이블/CSV</x:v>
      </x:c>
      <x:c r="G26" s="70" t="str">
        <x:v>P0-필수</x:v>
      </x:c>
      <x:c r="H26" s="70" t="str">
        <x:v>중간</x:v>
      </x:c>
      <x:c r="I26" s="70" t="str">
        <x:v>미착수</x:v>
      </x:c>
      <x:c r="J26" s="70" t="str"/>
      <x:c r="K26" s="70" t="str">
        <x:v>대시보드에서 관심종목 목록 조회 가능</x:v>
      </x:c>
      <x:c r="L26" s="70" t="str"/>
      <x:c r="M26" s="70" t="str">
        <x:v>watchlist CRUD API와 초기 CSV import 스크립트를 만들어줘.</x:v>
      </x:c>
      <x:c r="N26" s="70" t="str">
        <x:v>관심종목 과다 등록 금지</x:v>
      </x:c>
      <x:c r="O26" s="71" t="str"/>
    </x:row>
    <x:row r="27" ht="48" customHeight="1">
      <x:c r="A27" s="69" t="n">
        <x:v>19</x:v>
      </x:c>
      <x:c r="B27" s="70" t="str">
        <x:v>3. 데이터/DB</x:v>
      </x:c>
      <x:c r="C27" s="70" t="str">
        <x:v>Market Data Collector</x:v>
      </x:c>
      <x:c r="D27" s="70" t="str">
        <x:v>현재가, 체결, 호가, 1분봉/5분봉 수집기를 구현한다.</x:v>
      </x:c>
      <x:c r="E27" s="70" t="str">
        <x:v>전략과 백테스트의 핵심 재료.</x:v>
      </x:c>
      <x:c r="F27" s="70" t="str">
        <x:v>market collector</x:v>
      </x:c>
      <x:c r="G27" s="70" t="str">
        <x:v>P0-필수</x:v>
      </x:c>
      <x:c r="H27" s="70" t="str">
        <x:v>중간</x:v>
      </x:c>
      <x:c r="I27" s="70" t="str">
        <x:v>미착수</x:v>
      </x:c>
      <x:c r="J27" s="70" t="str"/>
      <x:c r="K27" s="70" t="str">
        <x:v>수집 데이터가 DB에 저장되고 누락률이 계산됨</x:v>
      </x:c>
      <x:c r="L27" s="70" t="str"/>
      <x:c r="M27" s="70" t="str">
        <x:v>app/market/collector.py와 app/market/candle_builder.py를 만들어줘.</x:v>
      </x:c>
      <x:c r="N27" s="70" t="str">
        <x:v>실시간 데이터 지연 시 주문 차단</x:v>
      </x:c>
      <x:c r="O27" s="71" t="str"/>
    </x:row>
    <x:row r="28" ht="48" customHeight="1">
      <x:c r="A28" s="69" t="n">
        <x:v>20</x:v>
      </x:c>
      <x:c r="B28" s="70" t="str">
        <x:v>3. 데이터/DB</x:v>
      </x:c>
      <x:c r="C28" s="70" t="str">
        <x:v>Data Freshness</x:v>
      </x:c>
      <x:c r="D28" s="70" t="str">
        <x:v>데이터 freshness 모듈을 만든다: N초 이상 미수신 시 신호 폐기.</x:v>
      </x:c>
      <x:c r="E28" s="70" t="str">
        <x:v>지연 시세로 단타 진입하는 사고 방지.</x:v>
      </x:c>
      <x:c r="F28" s="70" t="str">
        <x:v>freshness.py</x:v>
      </x:c>
      <x:c r="G28" s="70" t="str">
        <x:v>P0-필수</x:v>
      </x:c>
      <x:c r="H28" s="70" t="str">
        <x:v>중간</x:v>
      </x:c>
      <x:c r="I28" s="70" t="str">
        <x:v>미착수</x:v>
      </x:c>
      <x:c r="J28" s="70" t="str"/>
      <x:c r="K28" s="70" t="str">
        <x:v>틱 미수신 상태에서 주문 요청이 거절됨</x:v>
      </x:c>
      <x:c r="L28" s="70" t="str"/>
      <x:c r="M28" s="70" t="str">
        <x:v>app/market/freshness.py에 is_stale(symbol) 로직과 테스트를 작성해줘.</x:v>
      </x:c>
      <x:c r="N28" s="70" t="str">
        <x:v>WebSocket 재연결 중 신규 매수 금지</x:v>
      </x:c>
      <x:c r="O28" s="71" t="str"/>
    </x:row>
    <x:row r="29" ht="48" customHeight="1">
      <x:c r="A29" s="69" t="n">
        <x:v>21</x:v>
      </x:c>
      <x:c r="B29" s="70" t="str">
        <x:v>3. 데이터/DB</x:v>
      </x:c>
      <x:c r="C29" s="70" t="str">
        <x:v>Data Quality</x:v>
      </x:c>
      <x:c r="D29" s="70" t="str">
        <x:v>누락/중복/이상값/장외 데이터 혼입을 감지하는 품질 리포트를 만든다.</x:v>
      </x:c>
      <x:c r="E29" s="70" t="str">
        <x:v>잘못된 데이터로 전략을 과대평가하는 문제 방지.</x:v>
      </x:c>
      <x:c r="F29" s="70" t="str">
        <x:v>data_quality_report</x:v>
      </x:c>
      <x:c r="G29" s="70" t="str">
        <x:v>P1-중요</x:v>
      </x:c>
      <x:c r="H29" s="70" t="str">
        <x:v>중간</x:v>
      </x:c>
      <x:c r="I29" s="70" t="str">
        <x:v>미착수</x:v>
      </x:c>
      <x:c r="J29" s="70" t="str"/>
      <x:c r="K29" s="70" t="str">
        <x:v>일별 데이터 품질 점수 산출</x:v>
      </x:c>
      <x:c r="L29" s="70" t="str"/>
      <x:c r="M29" s="70" t="str">
        <x:v>scripts/check_data_quality.py를 만들어 누락률과 이상값을 출력해줘.</x:v>
      </x:c>
      <x:c r="N29" s="70" t="str">
        <x:v>품질 점수 낮은 날은 백테스트 제외</x:v>
      </x:c>
      <x:c r="O29" s="71" t="str"/>
    </x:row>
    <x:row r="30" ht="48" customHeight="1">
      <x:c r="A30" s="69" t="n">
        <x:v>22</x:v>
      </x:c>
      <x:c r="B30" s="70" t="str">
        <x:v>3. 데이터/DB</x:v>
      </x:c>
      <x:c r="C30" s="70" t="str">
        <x:v>Trend/News Data</x:v>
      </x:c>
      <x:c r="D30" s="70" t="str">
        <x:v>구글트렌드·뉴스·공시 데이터는 후보 필터로만 저장한다.</x:v>
      </x:c>
      <x:c r="E30" s="70" t="str">
        <x:v>비정형 데이터가 직접 주문으로 이어지는 것을 방지.</x:v>
      </x:c>
      <x:c r="F30" s="70" t="str">
        <x:v>theme_signals 테이블</x:v>
      </x:c>
      <x:c r="G30" s="70" t="str">
        <x:v>P1-중요</x:v>
      </x:c>
      <x:c r="H30" s="70" t="str">
        <x:v>중간</x:v>
      </x:c>
      <x:c r="I30" s="70" t="str">
        <x:v>미착수</x:v>
      </x:c>
      <x:c r="J30" s="70" t="str"/>
      <x:c r="K30" s="70" t="str">
        <x:v>테마 점수는 주문이 아니라 후보군 생성에만 사용</x:v>
      </x:c>
      <x:c r="L30" s="70" t="str">
        <x:v>AI 에이전트가 테마 요약 리포트 작성</x:v>
      </x:c>
      <x:c r="M30" s="70" t="str">
        <x:v>theme_signals 테이블과 ThemeFilter 기본 구조를 만들어줘.</x:v>
      </x:c>
      <x:c r="N30" s="70" t="str">
        <x:v>구글트렌드 alpha 접근 여부에 따라 대체 가능해야 함</x:v>
      </x:c>
      <x:c r="O30" s="71" t="str">
        <x:v>https://developers.google.com/search/apis/trends</x:v>
      </x:c>
    </x:row>
    <x:row r="31" ht="48" customHeight="1">
      <x:c r="A31" s="69" t="n">
        <x:v>23</x:v>
      </x:c>
      <x:c r="B31" s="70" t="str">
        <x:v>4. 백테스트</x:v>
      </x:c>
      <x:c r="C31" s="70" t="str">
        <x:v>Backtest Engine</x:v>
      </x:c>
      <x:c r="D31" s="70" t="str">
        <x:v>수수료, 세금, 슬리피지, 체결 지연을 반영한 백테스트 엔진을 만든다.</x:v>
      </x:c>
      <x:c r="E31" s="70" t="str">
        <x:v>실제보다 과장된 수익률 방지.</x:v>
      </x:c>
      <x:c r="F31" s="70" t="str">
        <x:v>BacktestEngine v1</x:v>
      </x:c>
      <x:c r="G31" s="70" t="str">
        <x:v>P0-필수</x:v>
      </x:c>
      <x:c r="H31" s="70" t="str">
        <x:v>중간</x:v>
      </x:c>
      <x:c r="I31" s="70" t="str">
        <x:v>미착수</x:v>
      </x:c>
      <x:c r="J31" s="70" t="str"/>
      <x:c r="K31" s="70" t="str">
        <x:v>전략 1개를 기간 지정해서 실행 가능</x:v>
      </x:c>
      <x:c r="L31" s="70" t="str"/>
      <x:c r="M31" s="70" t="str">
        <x:v>app/backtest/engine.py에 기본 백테스트 루프를 구현해줘.</x:v>
      </x:c>
      <x:c r="N31" s="70" t="str">
        <x:v>체결가를 항상 종가로 가정하지 않기</x:v>
      </x:c>
      <x:c r="O31" s="71" t="str"/>
    </x:row>
    <x:row r="32" ht="48" customHeight="1">
      <x:c r="A32" s="69" t="n">
        <x:v>24</x:v>
      </x:c>
      <x:c r="B32" s="70" t="str">
        <x:v>4. 백테스트</x:v>
      </x:c>
      <x:c r="C32" s="70" t="str">
        <x:v>Metrics</x:v>
      </x:c>
      <x:c r="D32" s="70" t="str">
        <x:v>성과지표를 만든다: 승률, 기대값, Profit Factor, MDD, Sharpe, 연속손실, 시간대별 손익.</x:v>
      </x:c>
      <x:c r="E32" s="70" t="str">
        <x:v>단타는 전체 수익률보다 손실 구조가 중요.</x:v>
      </x:c>
      <x:c r="F32" s="70" t="str">
        <x:v>metrics.py</x:v>
      </x:c>
      <x:c r="G32" s="70" t="str">
        <x:v>P0-필수</x:v>
      </x:c>
      <x:c r="H32" s="70" t="str">
        <x:v>중간</x:v>
      </x:c>
      <x:c r="I32" s="70" t="str">
        <x:v>미착수</x:v>
      </x:c>
      <x:c r="J32" s="70" t="str"/>
      <x:c r="K32" s="70" t="str">
        <x:v>백테스트 결과 JSON에 지표 포함</x:v>
      </x:c>
      <x:c r="L32" s="70" t="str"/>
      <x:c r="M32" s="70" t="str">
        <x:v>app/backtest/metrics.py에 성과지표 계산 함수를 구현해줘.</x:v>
      </x:c>
      <x:c r="N32" s="70" t="str">
        <x:v>승률만으로 전략 승인 금지</x:v>
      </x:c>
      <x:c r="O32" s="71" t="str"/>
    </x:row>
    <x:row r="33" ht="48" customHeight="1">
      <x:c r="A33" s="69" t="n">
        <x:v>25</x:v>
      </x:c>
      <x:c r="B33" s="70" t="str">
        <x:v>4. 백테스트</x:v>
      </x:c>
      <x:c r="C33" s="70" t="str">
        <x:v>Walk-forward</x:v>
      </x:c>
      <x:c r="D33" s="70" t="str">
        <x:v>학습기간/검증기간/최근기간을 나누어 Walk-forward 검증을 한다.</x:v>
      </x:c>
      <x:c r="E33" s="70" t="str">
        <x:v>과거에만 맞춘 과최적화 방지.</x:v>
      </x:c>
      <x:c r="F33" s="70" t="str">
        <x:v>검증 프로토콜</x:v>
      </x:c>
      <x:c r="G33" s="70" t="str">
        <x:v>P1-중요</x:v>
      </x:c>
      <x:c r="H33" s="70" t="str">
        <x:v>중간</x:v>
      </x:c>
      <x:c r="I33" s="70" t="str">
        <x:v>미착수</x:v>
      </x:c>
      <x:c r="J33" s="70" t="str"/>
      <x:c r="K33" s="70" t="str">
        <x:v>기간별 성과 편차 확인 가능</x:v>
      </x:c>
      <x:c r="L33" s="70" t="str"/>
      <x:c r="M33" s="70" t="str">
        <x:v>walk_forward_runner.py를 만들어 기간 분리 백테스트를 실행해줘.</x:v>
      </x:c>
      <x:c r="N33" s="70" t="str">
        <x:v>특정 구간 한 번의 대박으로 승인 금지</x:v>
      </x:c>
      <x:c r="O33" s="71" t="str"/>
    </x:row>
    <x:row r="34" ht="48" customHeight="1">
      <x:c r="A34" s="69" t="n">
        <x:v>26</x:v>
      </x:c>
      <x:c r="B34" s="70" t="str">
        <x:v>4. 백테스트</x:v>
      </x:c>
      <x:c r="C34" s="70" t="str">
        <x:v>Monte Carlo</x:v>
      </x:c>
      <x:c r="D34" s="70" t="str">
        <x:v>거래 순서를 섞어 최대낙폭과 파산위험을 추정한다.</x:v>
      </x:c>
      <x:c r="E34" s="70" t="str">
        <x:v>운 좋게 나온 백테스트 결과를 걸러내기 위함.</x:v>
      </x:c>
      <x:c r="F34" s="70" t="str">
        <x:v>Monte Carlo 리포트</x:v>
      </x:c>
      <x:c r="G34" s="70" t="str">
        <x:v>P2-고도화</x:v>
      </x:c>
      <x:c r="H34" s="70" t="str">
        <x:v>높음</x:v>
      </x:c>
      <x:c r="I34" s="70" t="str">
        <x:v>미착수</x:v>
      </x:c>
      <x:c r="J34" s="70" t="str"/>
      <x:c r="K34" s="70" t="str">
        <x:v>최악 5% 시나리오의 MDD 산출</x:v>
      </x:c>
      <x:c r="L34" s="70" t="str"/>
      <x:c r="M34" s="70" t="str">
        <x:v>백테스트 거래 로그로 Monte Carlo risk simulation을 작성해줘.</x:v>
      </x:c>
      <x:c r="N34" s="70" t="str">
        <x:v>고도화 기능이므로 MVP 이후 진행</x:v>
      </x:c>
      <x:c r="O34" s="71" t="str"/>
    </x:row>
    <x:row r="35" ht="48" customHeight="1">
      <x:c r="A35" s="69" t="n">
        <x:v>27</x:v>
      </x:c>
      <x:c r="B35" s="70" t="str">
        <x:v>4. 백테스트</x:v>
      </x:c>
      <x:c r="C35" s="70" t="str">
        <x:v>Promotion Gate</x:v>
      </x:c>
      <x:c r="D35" s="70" t="str">
        <x:v>전략 승격 기준을 코드화한다: 최소 거래 수, 기대값 양수, PF&gt;1.2, MDD 제한, 손실한도 위반 0회.</x:v>
      </x:c>
      <x:c r="E35" s="70" t="str">
        <x:v>검증 안 된 전략의 실전 진입 방지.</x:v>
      </x:c>
      <x:c r="F35" s="70" t="str">
        <x:v>strategy_promotion.py</x:v>
      </x:c>
      <x:c r="G35" s="70" t="str">
        <x:v>P0-필수</x:v>
      </x:c>
      <x:c r="H35" s="70" t="str">
        <x:v>중간</x:v>
      </x:c>
      <x:c r="I35" s="70" t="str">
        <x:v>미착수</x:v>
      </x:c>
      <x:c r="J35" s="70" t="str"/>
      <x:c r="K35" s="70" t="str">
        <x:v>기준 미달 전략은 Paper/Live로 승격 불가</x:v>
      </x:c>
      <x:c r="L35" s="70" t="str">
        <x:v>AI가 전략 승격을 제안해도 코드 기준 미달이면 차단</x:v>
      </x:c>
      <x:c r="M35" s="70" t="str">
        <x:v>app/governance/strategy_promotion.py를 만들고 승격 기준 테스트를 작성해줘.</x:v>
      </x:c>
      <x:c r="N35" s="70" t="str">
        <x:v>사람 승인 + 코드 기준 모두 필요</x:v>
      </x:c>
      <x:c r="O35" s="71" t="str"/>
    </x:row>
    <x:row r="36" ht="48" customHeight="1">
      <x:c r="A36" s="69" t="n">
        <x:v>28</x:v>
      </x:c>
      <x:c r="B36" s="70" t="str">
        <x:v>5. 전략 모듈</x:v>
      </x:c>
      <x:c r="C36" s="70" t="str">
        <x:v>StrategyBase</x:v>
      </x:c>
      <x:c r="D36" s="70" t="str">
        <x:v>StrategyBase 인터페이스를 만든다: generate_signal, calculate_size, exit_rule, explain_signal.</x:v>
      </x:c>
      <x:c r="E36" s="70" t="str">
        <x:v>전략 교체와 추가를 쉽게 하기 위함.</x:v>
      </x:c>
      <x:c r="F36" s="70" t="str">
        <x:v>StrategyBase</x:v>
      </x:c>
      <x:c r="G36" s="70" t="str">
        <x:v>P0-필수</x:v>
      </x:c>
      <x:c r="H36" s="70" t="str">
        <x:v>중간</x:v>
      </x:c>
      <x:c r="I36" s="70" t="str">
        <x:v>미착수</x:v>
      </x:c>
      <x:c r="J36" s="70" t="str"/>
      <x:c r="K36" s="70" t="str">
        <x:v>전략이 공통 인터페이스로 실행됨</x:v>
      </x:c>
      <x:c r="L36" s="70" t="str"/>
      <x:c r="M36" s="70" t="str">
        <x:v>app/strategies/base.py에 StrategyBase와 Signal dataclass를 만들어줘.</x:v>
      </x:c>
      <x:c r="N36" s="70" t="str">
        <x:v>전략에서 직접 주문 호출 금지</x:v>
      </x:c>
      <x:c r="O36" s="71" t="str"/>
    </x:row>
    <x:row r="37" ht="48" customHeight="1">
      <x:c r="A37" s="69" t="n">
        <x:v>29</x:v>
      </x:c>
      <x:c r="B37" s="70" t="str">
        <x:v>5. 전략 모듈</x:v>
      </x:c>
      <x:c r="C37" s="70" t="str">
        <x:v>Volume Breakout</x:v>
      </x:c>
      <x:c r="D37" s="70" t="str">
        <x:v>1차 전략은 거래대금 돌파 전략으로 제한한다.</x:v>
      </x:c>
      <x:c r="E37" s="70" t="str">
        <x:v>단순하고 디버깅하기 쉬운 전략부터 검증.</x:v>
      </x:c>
      <x:c r="F37" s="70" t="str">
        <x:v>VolumeBreakoutStrategy</x:v>
      </x:c>
      <x:c r="G37" s="70" t="str">
        <x:v>P0-필수</x:v>
      </x:c>
      <x:c r="H37" s="70" t="str">
        <x:v>중간</x:v>
      </x:c>
      <x:c r="I37" s="70" t="str">
        <x:v>미착수</x:v>
      </x:c>
      <x:c r="J37" s="70" t="str"/>
      <x:c r="K37" s="70" t="str">
        <x:v>거래대금, 고점돌파, VWAP, 손절/익절 조건 구현</x:v>
      </x:c>
      <x:c r="L37" s="70" t="str"/>
      <x:c r="M37" s="70" t="str">
        <x:v>volume_breakout.py에 거래대금 돌파 전략을 구현해줘.</x:v>
      </x:c>
      <x:c r="N37" s="70" t="str">
        <x:v>장 초반 급등 추격 제한 조건 포함</x:v>
      </x:c>
      <x:c r="O37" s="71" t="str"/>
    </x:row>
    <x:row r="38" ht="48" customHeight="1">
      <x:c r="A38" s="69" t="n">
        <x:v>30</x:v>
      </x:c>
      <x:c r="B38" s="70" t="str">
        <x:v>5. 전략 모듈</x:v>
      </x:c>
      <x:c r="C38" s="70" t="str">
        <x:v>Pullback</x:v>
      </x:c>
      <x:c r="D38" s="70" t="str">
        <x:v>2차 전략으로 눌림목 재돌파 전략을 만든다.</x:v>
      </x:c>
      <x:c r="E38" s="70" t="str">
        <x:v>추격매수 리스크를 줄이기 위함.</x:v>
      </x:c>
      <x:c r="F38" s="70" t="str">
        <x:v>PullbackRebreakStrategy</x:v>
      </x:c>
      <x:c r="G38" s="70" t="str">
        <x:v>P1-중요</x:v>
      </x:c>
      <x:c r="H38" s="70" t="str">
        <x:v>중간</x:v>
      </x:c>
      <x:c r="I38" s="70" t="str">
        <x:v>미착수</x:v>
      </x:c>
      <x:c r="J38" s="70" t="str"/>
      <x:c r="K38" s="70" t="str">
        <x:v>상승→거래량 감소 눌림→재돌파 구조 인식</x:v>
      </x:c>
      <x:c r="L38" s="70" t="str"/>
      <x:c r="M38" s="70" t="str">
        <x:v>pullback_rebreak.py를 StrategyBase 기반으로 만들어줘.</x:v>
      </x:c>
      <x:c r="N38" s="70" t="str">
        <x:v>패턴 인식은 과최적화 주의</x:v>
      </x:c>
      <x:c r="O38" s="71" t="str"/>
    </x:row>
    <x:row r="39" ht="48" customHeight="1">
      <x:c r="A39" s="69" t="n">
        <x:v>31</x:v>
      </x:c>
      <x:c r="B39" s="70" t="str">
        <x:v>5. 전략 모듈</x:v>
      </x:c>
      <x:c r="C39" s="70" t="str">
        <x:v>VWAP</x:v>
      </x:c>
      <x:c r="D39" s="70" t="str">
        <x:v>VWAP 회귀/이탈 전략은 보조 전략으로 만든다.</x:v>
      </x:c>
      <x:c r="E39" s="70" t="str">
        <x:v>단타 기준선으로 VWAP를 활용.</x:v>
      </x:c>
      <x:c r="F39" s="70" t="str">
        <x:v>VWAPStrategy</x:v>
      </x:c>
      <x:c r="G39" s="70" t="str">
        <x:v>P1-중요</x:v>
      </x:c>
      <x:c r="H39" s="70" t="str">
        <x:v>중간</x:v>
      </x:c>
      <x:c r="I39" s="70" t="str">
        <x:v>미착수</x:v>
      </x:c>
      <x:c r="J39" s="70" t="str"/>
      <x:c r="K39" s="70" t="str">
        <x:v>현재가/VWAP 괴리율과 거래량 필터 구현</x:v>
      </x:c>
      <x:c r="L39" s="70" t="str"/>
      <x:c r="M39" s="70" t="str">
        <x:v>vwap_strategy.py를 만들고 VWAP 계산 유틸을 추가해줘.</x:v>
      </x:c>
      <x:c r="N39" s="70" t="str">
        <x:v>거래량 적은 종목에서 왜곡 가능</x:v>
      </x:c>
      <x:c r="O39" s="71" t="str"/>
    </x:row>
    <x:row r="40" ht="48" customHeight="1">
      <x:c r="A40" s="69" t="n">
        <x:v>32</x:v>
      </x:c>
      <x:c r="B40" s="70" t="str">
        <x:v>5. 전략 모듈</x:v>
      </x:c>
      <x:c r="C40" s="70" t="str">
        <x:v>Market Regime</x:v>
      </x:c>
      <x:c r="D40" s="70" t="str">
        <x:v>시장 국면 필터를 만든다: 지수 급락, 변동성 확대, 거래대금 위축 시 신규 매수 제한.</x:v>
      </x:c>
      <x:c r="E40" s="70" t="str">
        <x:v>좋은 전략도 장세가 나쁘면 손실 가능성이 커짐.</x:v>
      </x:c>
      <x:c r="F40" s="70" t="str">
        <x:v>MarketRegimeFilter</x:v>
      </x:c>
      <x:c r="G40" s="70" t="str">
        <x:v>P1-중요</x:v>
      </x:c>
      <x:c r="H40" s="70" t="str">
        <x:v>중간</x:v>
      </x:c>
      <x:c r="I40" s="70" t="str">
        <x:v>미착수</x:v>
      </x:c>
      <x:c r="J40" s="70" t="str"/>
      <x:c r="K40" s="70" t="str">
        <x:v>시장 조건이 나쁘면 전략 신호가 차단됨</x:v>
      </x:c>
      <x:c r="L40" s="70" t="str"/>
      <x:c r="M40" s="70" t="str">
        <x:v>app/filters/market_regime.py에 시장 국면 필터를 구현해줘.</x:v>
      </x:c>
      <x:c r="N40" s="70" t="str">
        <x:v>초기에는 단순 지수/거래대금 기준만 사용</x:v>
      </x:c>
      <x:c r="O40" s="71" t="str"/>
    </x:row>
    <x:row r="41" ht="48" customHeight="1">
      <x:c r="A41" s="69" t="n">
        <x:v>33</x:v>
      </x:c>
      <x:c r="B41" s="70" t="str">
        <x:v>5. 전략 모듈</x:v>
      </x:c>
      <x:c r="C41" s="70" t="str">
        <x:v>Signal Explainability</x:v>
      </x:c>
      <x:c r="D41" s="70" t="str">
        <x:v>신호 판정 근거 패널을 만든다: 통과/실패 조건을 화면에 표시한다.</x:v>
      </x:c>
      <x:c r="E41" s="70" t="str">
        <x:v>왜 매수/매도/거절됐는지 알아야 개선 가능.</x:v>
      </x:c>
      <x:c r="F41" s="70" t="str">
        <x:v>Signal Explainability Panel</x:v>
      </x:c>
      <x:c r="G41" s="70" t="str">
        <x:v>P0-필수</x:v>
      </x:c>
      <x:c r="H41" s="70" t="str">
        <x:v>중간</x:v>
      </x:c>
      <x:c r="I41" s="70" t="str">
        <x:v>미착수</x:v>
      </x:c>
      <x:c r="J41" s="70" t="str"/>
      <x:c r="K41" s="70" t="str">
        <x:v>각 신호에 근거와 거절 사유가 저장/표시됨</x:v>
      </x:c>
      <x:c r="L41" s="70" t="str">
        <x:v>에이전트가 explain_signal 로그를 분석</x:v>
      </x:c>
      <x:c r="M41" s="70" t="str">
        <x:v>SignalReason 모델과 /signals/{id}/explain API를 만들어줘.</x:v>
      </x:c>
      <x:c r="N41" s="70" t="str">
        <x:v>설명 없는 주문 금지</x:v>
      </x:c>
      <x:c r="O41" s="71" t="str"/>
    </x:row>
    <x:row r="42" ht="48" customHeight="1">
      <x:c r="A42" s="69" t="n">
        <x:v>34</x:v>
      </x:c>
      <x:c r="B42" s="70" t="str">
        <x:v>6. 리스크 통제</x:v>
      </x:c>
      <x:c r="C42" s="70" t="str">
        <x:v>RiskManager</x:v>
      </x:c>
      <x:c r="D42" s="70" t="str">
        <x:v>모든 주문은 RiskManager.check_order()를 통과하도록 강제한다.</x:v>
      </x:c>
      <x:c r="E42" s="70" t="str">
        <x:v>전략/AI 오류가 직접 주문으로 이어지지 않게 하기 위함.</x:v>
      </x:c>
      <x:c r="F42" s="70" t="str">
        <x:v>RiskManager</x:v>
      </x:c>
      <x:c r="G42" s="70" t="str">
        <x:v>P0-필수</x:v>
      </x:c>
      <x:c r="H42" s="70" t="str">
        <x:v>중간</x:v>
      </x:c>
      <x:c r="I42" s="70" t="str">
        <x:v>미착수</x:v>
      </x:c>
      <x:c r="J42" s="70" t="str"/>
      <x:c r="K42" s="70" t="str">
        <x:v>RiskManager 우회 주문 테스트가 실패해야 함</x:v>
      </x:c>
      <x:c r="L42" s="70" t="str"/>
      <x:c r="M42" s="70" t="str">
        <x:v>app/risk/risk_manager.py에 check_order(order, context)를 구현해줘.</x:v>
      </x:c>
      <x:c r="N42" s="70" t="str">
        <x:v>주문 엔진에서 RiskManager 우회 경로 제거</x:v>
      </x:c>
      <x:c r="O42" s="71" t="str"/>
    </x:row>
    <x:row r="43" ht="48" customHeight="1">
      <x:c r="A43" s="69" t="n">
        <x:v>35</x:v>
      </x:c>
      <x:c r="B43" s="70" t="str">
        <x:v>6. 리스크 통제</x:v>
      </x:c>
      <x:c r="C43" s="70" t="str">
        <x:v>Position Limit</x:v>
      </x:c>
      <x:c r="D43" s="70" t="str">
        <x:v>1회 거래금액, 종목당 한도, 총 익스포저, 최대 보유 종목 수를 제한한다.</x:v>
      </x:c>
      <x:c r="E43" s="70" t="str">
        <x:v>과도한 집중과 레버리지 방지.</x:v>
      </x:c>
      <x:c r="F43" s="70" t="str">
        <x:v>position limits</x:v>
      </x:c>
      <x:c r="G43" s="70" t="str">
        <x:v>P0-필수</x:v>
      </x:c>
      <x:c r="H43" s="70" t="str">
        <x:v>중간</x:v>
      </x:c>
      <x:c r="I43" s="70" t="str">
        <x:v>미착수</x:v>
      </x:c>
      <x:c r="J43" s="70" t="str"/>
      <x:c r="K43" s="70" t="str">
        <x:v>한도 초과 주문이 거절됨</x:v>
      </x:c>
      <x:c r="L43" s="70" t="str"/>
      <x:c r="M43" s="70" t="str">
        <x:v>PositionLimitRule을 구현하고 경계값 테스트를 작성해줘.</x:v>
      </x:c>
      <x:c r="N43" s="70" t="str">
        <x:v>선물 도입 시 명목금액 기준 별도 계산 필요</x:v>
      </x:c>
      <x:c r="O43" s="71" t="str"/>
    </x:row>
    <x:row r="44" ht="48" customHeight="1">
      <x:c r="A44" s="69" t="n">
        <x:v>36</x:v>
      </x:c>
      <x:c r="B44" s="70" t="str">
        <x:v>6. 리스크 통제</x:v>
      </x:c>
      <x:c r="C44" s="70" t="str">
        <x:v>Loss Limit</x:v>
      </x:c>
      <x:c r="D44" s="70" t="str">
        <x:v>일일 손실한도, 주간 손실한도, 연속손실 중단 조건을 만든다.</x:v>
      </x:c>
      <x:c r="E44" s="70" t="str">
        <x:v>감정적 복구매매와 봇 폭주 방지.</x:v>
      </x:c>
      <x:c r="F44" s="70" t="str">
        <x:v>loss limits</x:v>
      </x:c>
      <x:c r="G44" s="70" t="str">
        <x:v>P0-필수</x:v>
      </x:c>
      <x:c r="H44" s="70" t="str">
        <x:v>중간</x:v>
      </x:c>
      <x:c r="I44" s="70" t="str">
        <x:v>미착수</x:v>
      </x:c>
      <x:c r="J44" s="70" t="str"/>
      <x:c r="K44" s="70" t="str">
        <x:v>손실한도 도달 시 신규 매수 차단</x:v>
      </x:c>
      <x:c r="L44" s="70" t="str"/>
      <x:c r="M44" s="70" t="str">
        <x:v>DailyLossLimitRule과 ConsecutiveLossRule을 구현해줘.</x:v>
      </x:c>
      <x:c r="N44" s="70" t="str">
        <x:v>실시간 손익 계산 오류 주의</x:v>
      </x:c>
      <x:c r="O44" s="71" t="str"/>
    </x:row>
    <x:row r="45" ht="48" customHeight="1">
      <x:c r="A45" s="69" t="n">
        <x:v>37</x:v>
      </x:c>
      <x:c r="B45" s="70" t="str">
        <x:v>6. 리스크 통제</x:v>
      </x:c>
      <x:c r="C45" s="70" t="str">
        <x:v>Kill Switch</x:v>
      </x:c>
      <x:c r="D45" s="70" t="str">
        <x:v>킬스위치를 3단계로 만든다: 신규매수 중단, 미체결 취소, 청산 후보 표시.</x:v>
      </x:c>
      <x:c r="E45" s="70" t="str">
        <x:v>비상상황에서 단계적으로 멈추기 위함.</x:v>
      </x:c>
      <x:c r="F45" s="70" t="str">
        <x:v>Emergency Stop</x:v>
      </x:c>
      <x:c r="G45" s="70" t="str">
        <x:v>P0-필수</x:v>
      </x:c>
      <x:c r="H45" s="70" t="str">
        <x:v>중간</x:v>
      </x:c>
      <x:c r="I45" s="70" t="str">
        <x:v>미착수</x:v>
      </x:c>
      <x:c r="J45" s="70" t="str"/>
      <x:c r="K45" s="70" t="str">
        <x:v>프론트 버튼으로 신규 주문 차단 가능</x:v>
      </x:c>
      <x:c r="L45" s="70" t="str"/>
      <x:c r="M45" s="70" t="str">
        <x:v>app/risk/emergency_stop.py와 POST /emergency-stop API를 만들어줘.</x:v>
      </x:c>
      <x:c r="N45" s="70" t="str">
        <x:v>초기에는 자동 전량청산보다 수동승인 권장</x:v>
      </x:c>
      <x:c r="O45" s="71" t="str"/>
    </x:row>
    <x:row r="46" ht="48" customHeight="1">
      <x:c r="A46" s="69" t="n">
        <x:v>38</x:v>
      </x:c>
      <x:c r="B46" s="70" t="str">
        <x:v>6. 리스크 통제</x:v>
      </x:c>
      <x:c r="C46" s="70" t="str">
        <x:v>Order Guard</x:v>
      </x:c>
      <x:c r="D46" s="70" t="str">
        <x:v>중복 주문, 짧은 시간 반복 주문, 동일 종목 재진입 쿨타임을 막는다.</x:v>
      </x:c>
      <x:c r="E46" s="70" t="str">
        <x:v>봇 오류로 같은 주문이 반복되는 사고 방지.</x:v>
      </x:c>
      <x:c r="F46" s="70" t="str">
        <x:v>OrderGuard</x:v>
      </x:c>
      <x:c r="G46" s="70" t="str">
        <x:v>P0-필수</x:v>
      </x:c>
      <x:c r="H46" s="70" t="str">
        <x:v>중간</x:v>
      </x:c>
      <x:c r="I46" s="70" t="str">
        <x:v>미착수</x:v>
      </x:c>
      <x:c r="J46" s="70" t="str"/>
      <x:c r="K46" s="70" t="str">
        <x:v>동일 주문 반복 시 거절 로그 발생</x:v>
      </x:c>
      <x:c r="L46" s="70" t="str"/>
      <x:c r="M46" s="70" t="str">
        <x:v>app/risk/order_guard.py에 duplicate/cooldown 검사를 구현해줘.</x:v>
      </x:c>
      <x:c r="N46" s="70" t="str">
        <x:v>네트워크 재시도와 중복 주문을 구분</x:v>
      </x:c>
      <x:c r="O46" s="71" t="str"/>
    </x:row>
    <x:row r="47" ht="48" customHeight="1">
      <x:c r="A47" s="69" t="n">
        <x:v>39</x:v>
      </x:c>
      <x:c r="B47" s="70" t="str">
        <x:v>6. 리스크 통제</x:v>
      </x:c>
      <x:c r="C47" s="70" t="str">
        <x:v>AI Permission Gate</x:v>
      </x:c>
      <x:c r="D47" s="70" t="str">
        <x:v>AI 주문 권한을 단계별로 제한한다: 추천만, 승인요청만, 제한적 실행, 완전중지 가능.</x:v>
      </x:c>
      <x:c r="E47" s="70" t="str">
        <x:v>AI 자동매매로 넘어가도 권한 범위를 통제하기 위함.</x:v>
      </x:c>
      <x:c r="F47" s="70" t="str">
        <x:v>AI Permission Matrix</x:v>
      </x:c>
      <x:c r="G47" s="70" t="str">
        <x:v>P0-필수</x:v>
      </x:c>
      <x:c r="H47" s="70" t="str">
        <x:v>중간</x:v>
      </x:c>
      <x:c r="I47" s="70" t="str">
        <x:v>미착수</x:v>
      </x:c>
      <x:c r="J47" s="70" t="str"/>
      <x:c r="K47" s="70" t="str">
        <x:v>AI가 허용 모드 밖에서 주문 API 호출 불가</x:v>
      </x:c>
      <x:c r="L47" s="70" t="str">
        <x:v>AI 매수·매도 실행 전용 권한 게이트</x:v>
      </x:c>
      <x:c r="M47" s="70" t="str">
        <x:v>app/risk/ai_permission_gate.py에 모드별 AI 권한 검사를 구현해줘.</x:v>
      </x:c>
      <x:c r="N47" s="70" t="str">
        <x:v>AI 에이전트 API Key가 주문 권한을 직접 갖지 않게 설계</x:v>
      </x:c>
      <x:c r="O47" s="71" t="str"/>
    </x:row>
    <x:row r="48" ht="48" customHeight="1">
      <x:c r="A48" s="69" t="n">
        <x:v>40</x:v>
      </x:c>
      <x:c r="B48" s="70" t="str">
        <x:v>7. 주문/실행</x:v>
      </x:c>
      <x:c r="C48" s="70" t="str">
        <x:v>Order Executor</x:v>
      </x:c>
      <x:c r="D48" s="70" t="str">
        <x:v>OrderExecutor를 만든다: 전략/AI/수동 요청을 받아 RiskManager 통과 후 브로커에 주문.</x:v>
      </x:c>
      <x:c r="E48" s="70" t="str">
        <x:v>주문 흐름을 한 곳에서 통제.</x:v>
      </x:c>
      <x:c r="F48" s="70" t="str">
        <x:v>OrderExecutor</x:v>
      </x:c>
      <x:c r="G48" s="70" t="str">
        <x:v>P0-필수</x:v>
      </x:c>
      <x:c r="H48" s="70" t="str">
        <x:v>중간</x:v>
      </x:c>
      <x:c r="I48" s="70" t="str">
        <x:v>미착수</x:v>
      </x:c>
      <x:c r="J48" s="70" t="str"/>
      <x:c r="K48" s="70" t="str">
        <x:v>모든 주문 로그에 source, strategy, risk_result 저장</x:v>
      </x:c>
      <x:c r="L48" s="70" t="str"/>
      <x:c r="M48" s="70" t="str">
        <x:v>app/execution/order_executor.py를 만들어 RiskManager와 BrokerAdapter를 연결해줘.</x:v>
      </x:c>
      <x:c r="N48" s="70" t="str">
        <x:v>프론트나 AI가 브로커를 직접 호출하지 못하게 함</x:v>
      </x:c>
      <x:c r="O48" s="71" t="str"/>
    </x:row>
    <x:row r="49" ht="48" customHeight="1">
      <x:c r="A49" s="69" t="n">
        <x:v>41</x:v>
      </x:c>
      <x:c r="B49" s="70" t="str">
        <x:v>7. 주문/실행</x:v>
      </x:c>
      <x:c r="C49" s="70" t="str">
        <x:v>Manual Approval</x:v>
      </x:c>
      <x:c r="D49" s="70" t="str">
        <x:v>처음 실거래는 사람이 승인해야 주문이 나가도록 만든다.</x:v>
      </x:c>
      <x:c r="E49" s="70" t="str">
        <x:v>사용자가 원하는 초기 수동 주문 방식 반영.</x:v>
      </x:c>
      <x:c r="F49" s="70" t="str">
        <x:v>Manual Approval Queue</x:v>
      </x:c>
      <x:c r="G49" s="70" t="str">
        <x:v>P0-필수</x:v>
      </x:c>
      <x:c r="H49" s="70" t="str">
        <x:v>중간</x:v>
      </x:c>
      <x:c r="I49" s="70" t="str">
        <x:v>미착수</x:v>
      </x:c>
      <x:c r="J49" s="70" t="str"/>
      <x:c r="K49" s="70" t="str">
        <x:v>AI/전략 신호가 승인 대기 목록에 뜨고 승인 시 주문</x:v>
      </x:c>
      <x:c r="L49" s="70" t="str">
        <x:v>AI는 초기에 매수·매도 제안만 수행</x:v>
      </x:c>
      <x:c r="M49" s="70" t="str">
        <x:v>approval_queue 테이블과 approve/reject API를 만들어줘.</x:v>
      </x:c>
      <x:c r="N49" s="70" t="str">
        <x:v>승인 만료시간 설정 필요</x:v>
      </x:c>
      <x:c r="O49" s="71" t="str"/>
    </x:row>
    <x:row r="50" ht="48" customHeight="1">
      <x:c r="A50" s="69" t="n">
        <x:v>42</x:v>
      </x:c>
      <x:c r="B50" s="70" t="str">
        <x:v>7. 주문/실행</x:v>
      </x:c>
      <x:c r="C50" s="70" t="str">
        <x:v>Paper Trading</x:v>
      </x:c>
      <x:c r="D50" s="70" t="str">
        <x:v>실제 시세 + 모의투자 주문으로 Paper 모드를 만든다.</x:v>
      </x:c>
      <x:c r="E50" s="70" t="str">
        <x:v>실시간 환경에서 전략 오류 확인.</x:v>
      </x:c>
      <x:c r="F50" s="70" t="str">
        <x:v>PaperTrader</x:v>
      </x:c>
      <x:c r="G50" s="70" t="str">
        <x:v>P0-필수</x:v>
      </x:c>
      <x:c r="H50" s="70" t="str">
        <x:v>중간</x:v>
      </x:c>
      <x:c r="I50" s="70" t="str">
        <x:v>미착수</x:v>
      </x:c>
      <x:c r="J50" s="70" t="str"/>
      <x:c r="K50" s="70" t="str">
        <x:v>모의투자 주문/체결 로그 저장</x:v>
      </x:c>
      <x:c r="L50" s="70" t="str"/>
      <x:c r="M50" s="70" t="str">
        <x:v>PaperTrader를 구현하고 MockBroker/KIS 모의투자와 선택 가능하게 해줘.</x:v>
      </x:c>
      <x:c r="N50" s="70" t="str">
        <x:v>모의투자는 체결 품질이 실제와 다를 수 있음</x:v>
      </x:c>
      <x:c r="O50" s="71" t="str"/>
    </x:row>
    <x:row r="51" ht="48" customHeight="1">
      <x:c r="A51" s="69" t="n">
        <x:v>43</x:v>
      </x:c>
      <x:c r="B51" s="70" t="str">
        <x:v>7. 주문/실행</x:v>
      </x:c>
      <x:c r="C51" s="70" t="str">
        <x:v>Live Shadow</x:v>
      </x:c>
      <x:c r="D51" s="70" t="str">
        <x:v>실제 계좌/실시간 시세 환경에서 주문 없이 신호만 기록한다.</x:v>
      </x:c>
      <x:c r="E51" s="70" t="str">
        <x:v>실전 환경 적합성을 주문 없이 검증.</x:v>
      </x:c>
      <x:c r="F51" s="70" t="str">
        <x:v>LIVE_SHADOW mode</x:v>
      </x:c>
      <x:c r="G51" s="70" t="str">
        <x:v>P0-필수</x:v>
      </x:c>
      <x:c r="H51" s="70" t="str">
        <x:v>중간</x:v>
      </x:c>
      <x:c r="I51" s="70" t="str">
        <x:v>미착수</x:v>
      </x:c>
      <x:c r="J51" s="70" t="str"/>
      <x:c r="K51" s="70" t="str">
        <x:v>실제 주문은 0건, 신호/가상체결 로그 저장</x:v>
      </x:c>
      <x:c r="L51" s="70" t="str"/>
      <x:c r="M51" s="70" t="str">
        <x:v>LIVE_SHADOW 모드에서는 OrderExecutor가 주문 대신 shadow_trades에 기록하게 해줘.</x:v>
      </x:c>
      <x:c r="N51" s="70" t="str">
        <x:v>Shadow 결과를 실제 체결 가능성과 구분</x:v>
      </x:c>
      <x:c r="O51" s="71" t="str"/>
    </x:row>
    <x:row r="52" ht="48" customHeight="1">
      <x:c r="A52" s="69" t="n">
        <x:v>44</x:v>
      </x:c>
      <x:c r="B52" s="70" t="str">
        <x:v>7. 주문/실행</x:v>
      </x:c>
      <x:c r="C52" s="70" t="str">
        <x:v>AI Assisted Trading</x:v>
      </x:c>
      <x:c r="D52" s="70" t="str">
        <x:v>안정화 후 AI가 매수/매도 후보를 제안하고 사용자가 승인하는 모드를 만든다.</x:v>
      </x:c>
      <x:c r="E52" s="70" t="str">
        <x:v>사용자 의사결정 부담을 줄이되 통제 유지.</x:v>
      </x:c>
      <x:c r="F52" s="70" t="str">
        <x:v>LIVE_AI_ASSIST mode</x:v>
      </x:c>
      <x:c r="G52" s="70" t="str">
        <x:v>P1-중요</x:v>
      </x:c>
      <x:c r="H52" s="70" t="str">
        <x:v>중간</x:v>
      </x:c>
      <x:c r="I52" s="70" t="str">
        <x:v>미착수</x:v>
      </x:c>
      <x:c r="J52" s="70" t="str"/>
      <x:c r="K52" s="70" t="str">
        <x:v>AI 제안→근거 표시→사람 승인→주문</x:v>
      </x:c>
      <x:c r="L52" s="70" t="str">
        <x:v>AI 자동매매 전 중간 단계</x:v>
      </x:c>
      <x:c r="M52" s="70" t="str">
        <x:v>AI 제안을 approval_queue에 넣고 근거와 리스크 결과를 함께 표시해줘.</x:v>
      </x:c>
      <x:c r="N52" s="70" t="str">
        <x:v>AI 제안은 항상 RiskManager 사전검사 필요</x:v>
      </x:c>
      <x:c r="O52" s="71" t="str"/>
    </x:row>
    <x:row r="53" ht="48" customHeight="1">
      <x:c r="A53" s="69" t="n">
        <x:v>45</x:v>
      </x:c>
      <x:c r="B53" s="70" t="str">
        <x:v>7. 주문/실행</x:v>
      </x:c>
      <x:c r="C53" s="70" t="str">
        <x:v>AI Execution</x:v>
      </x:c>
      <x:c r="D53" s="70" t="str">
        <x:v>최종적으로 제한된 조건에서 AI가 매수·매도 실행 가능하게 한다.</x:v>
      </x:c>
      <x:c r="E53" s="70" t="str">
        <x:v>사용자 목표인 AI 자동매매 단계.</x:v>
      </x:c>
      <x:c r="F53" s="70" t="str">
        <x:v>LIVE_AI_EXECUTION mode</x:v>
      </x:c>
      <x:c r="G53" s="70" t="str">
        <x:v>P2-고도화</x:v>
      </x:c>
      <x:c r="H53" s="70" t="str">
        <x:v>높음</x:v>
      </x:c>
      <x:c r="I53" s="70" t="str">
        <x:v>미착수</x:v>
      </x:c>
      <x:c r="J53" s="70" t="str"/>
      <x:c r="K53" s="70" t="str">
        <x:v>AI 주문도 RiskManager, AI Permission Gate, 일일한도, 감사로그를 통과</x:v>
      </x:c>
      <x:c r="L53" s="70" t="str">
        <x:v>AI가 직접 주문 가능하되 사전정의 범위 안에서만 가능</x:v>
      </x:c>
      <x:c r="M53" s="70" t="str">
        <x:v>LIVE_AI_EXECUTION 모드를 추가하되 기본 비활성화하고 모든 AI 주문에 audit log를 남겨줘.</x:v>
      </x:c>
      <x:c r="N53" s="70" t="str">
        <x:v>초기에는 주문금액 극소액, 종목 제한, 시간 제한 필수</x:v>
      </x:c>
      <x:c r="O53" s="71" t="str"/>
    </x:row>
    <x:row r="54" ht="48" customHeight="1">
      <x:c r="A54" s="69" t="n">
        <x:v>46</x:v>
      </x:c>
      <x:c r="B54" s="70" t="str">
        <x:v>8. 선물 기능</x:v>
      </x:c>
      <x:c r="C54" s="70" t="str">
        <x:v>Futures Scope</x:v>
      </x:c>
      <x:c r="D54" s="70" t="str">
        <x:v>선물 기능은 국내 선물/옵션 또는 해외선물 중 하나를 선택해 별도 Phase로 정의한다.</x:v>
      </x:c>
      <x:c r="E54" s="70" t="str">
        <x:v>선물은 레버리지·증거금·청산위험이 커서 주식과 분리 필요.</x:v>
      </x:c>
      <x:c r="F54" s="70" t="str">
        <x:v>선물 범위 정의서</x:v>
      </x:c>
      <x:c r="G54" s="70" t="str">
        <x:v>P1-중요</x:v>
      </x:c>
      <x:c r="H54" s="70" t="str">
        <x:v>중간</x:v>
      </x:c>
      <x:c r="I54" s="70" t="str">
        <x:v>미착수</x:v>
      </x:c>
      <x:c r="J54" s="70" t="str"/>
      <x:c r="K54" s="70" t="str">
        <x:v>대상 시장, 거래시간, 증거금, 호가단위, 위험한도 정리</x:v>
      </x:c>
      <x:c r="L54" s="70" t="str">
        <x:v>AI 자동매매는 선물에서 더 엄격한 권한 필요</x:v>
      </x:c>
      <x:c r="M54" s="70" t="str">
        <x:v>docs/futures_scope.md에 국내/해외선물 비교와 1차 범위를 정리해줘.</x:v>
      </x:c>
      <x:c r="N54" s="70" t="str">
        <x:v>주식 MVP 완료 전 선물 실거래 금지</x:v>
      </x:c>
      <x:c r="O54" s="71" t="str">
        <x:v>https://openapi.kiwoom.com/ ; https://www.kiwoom.com/h/common/bbs/VBbsBoardBWFOZView</x:v>
      </x:c>
    </x:row>
    <x:row r="55" ht="48" customHeight="1">
      <x:c r="A55" s="69" t="n">
        <x:v>47</x:v>
      </x:c>
      <x:c r="B55" s="70" t="str">
        <x:v>8. 선물 기능</x:v>
      </x:c>
      <x:c r="C55" s="70" t="str">
        <x:v>Futures Broker</x:v>
      </x:c>
      <x:c r="D55" s="70" t="str">
        <x:v>FuturesBrokerAdapter를 별도로 만든다: 계약수, 증거금, 만기, 롤오버, 틱가치 반영.</x:v>
      </x:c>
      <x:c r="E55" s="70" t="str">
        <x:v>주식의 수량/가격 개념과 선물의 계약/증거금 개념이 다름.</x:v>
      </x:c>
      <x:c r="F55" s="70" t="str">
        <x:v>FuturesBrokerAdapter</x:v>
      </x:c>
      <x:c r="G55" s="70" t="str">
        <x:v>P2-고도화</x:v>
      </x:c>
      <x:c r="H55" s="70" t="str">
        <x:v>높음</x:v>
      </x:c>
      <x:c r="I55" s="70" t="str">
        <x:v>미착수</x:v>
      </x:c>
      <x:c r="J55" s="70" t="str"/>
      <x:c r="K55" s="70" t="str">
        <x:v>주식 주문과 선물 주문 모델이 분리됨</x:v>
      </x:c>
      <x:c r="L55" s="70" t="str"/>
      <x:c r="M55" s="70" t="str">
        <x:v>app/brokers/futures_base.py에 FuturesBrokerAdapter와 FuturesOrder 모델을 만들어줘.</x:v>
      </x:c>
      <x:c r="N55" s="70" t="str">
        <x:v>주식 RiskManager를 그대로 쓰지 말 것</x:v>
      </x:c>
      <x:c r="O55" s="71" t="str"/>
    </x:row>
    <x:row r="56" ht="48" customHeight="1">
      <x:c r="A56" s="69" t="n">
        <x:v>48</x:v>
      </x:c>
      <x:c r="B56" s="70" t="str">
        <x:v>8. 선물 기능</x:v>
      </x:c>
      <x:c r="C56" s="70" t="str">
        <x:v>Margin Risk</x:v>
      </x:c>
      <x:c r="D56" s="70" t="str">
        <x:v>증거금, 유지증거금, 강제청산 가능성, 레버리지 한도를 RiskManager에 추가한다.</x:v>
      </x:c>
      <x:c r="E56" s="70" t="str">
        <x:v>선물의 핵심 리스크는 가격 손실보다 레버리지와 마진콜.</x:v>
      </x:c>
      <x:c r="F56" s="70" t="str">
        <x:v>FuturesRiskManager</x:v>
      </x:c>
      <x:c r="G56" s="70" t="str">
        <x:v>P2-고도화</x:v>
      </x:c>
      <x:c r="H56" s="70" t="str">
        <x:v>높음</x:v>
      </x:c>
      <x:c r="I56" s="70" t="str">
        <x:v>미착수</x:v>
      </x:c>
      <x:c r="J56" s="70" t="str"/>
      <x:c r="K56" s="70" t="str">
        <x:v>증거금 부족 시 신규 주문/추가 포지션 차단</x:v>
      </x:c>
      <x:c r="L56" s="70" t="str"/>
      <x:c r="M56" s="70" t="str">
        <x:v>FuturesMarginRule과 LeverageLimitRule을 구현해줘.</x:v>
      </x:c>
      <x:c r="N56" s="70" t="str">
        <x:v>실계좌 연동 전 모의/시뮬레이션 필수</x:v>
      </x:c>
      <x:c r="O56" s="71" t="str"/>
    </x:row>
    <x:row r="57" ht="48" customHeight="1">
      <x:c r="A57" s="69" t="n">
        <x:v>49</x:v>
      </x:c>
      <x:c r="B57" s="70" t="str">
        <x:v>8. 선물 기능</x:v>
      </x:c>
      <x:c r="C57" s="70" t="str">
        <x:v>Futures Strategies</x:v>
      </x:c>
      <x:c r="D57" s="70" t="str">
        <x:v>선물 전략은 추세추종/변동성 돌파/헤지 전략으로 주식 전략과 분리한다.</x:v>
      </x:c>
      <x:c r="E57" s="70" t="str">
        <x:v>선물은 양방향 포지션과 레버리지 특성이 달라 전략 구조가 다름.</x:v>
      </x:c>
      <x:c r="F57" s="70" t="str">
        <x:v>FuturesStrategyBase</x:v>
      </x:c>
      <x:c r="G57" s="70" t="str">
        <x:v>P2-고도화</x:v>
      </x:c>
      <x:c r="H57" s="70" t="str">
        <x:v>높음</x:v>
      </x:c>
      <x:c r="I57" s="70" t="str">
        <x:v>미착수</x:v>
      </x:c>
      <x:c r="J57" s="70" t="str"/>
      <x:c r="K57" s="70" t="str">
        <x:v>롱/숏 진입, 청산, 롤오버 규칙이 명확함</x:v>
      </x:c>
      <x:c r="L57" s="70" t="str"/>
      <x:c r="M57" s="70" t="str">
        <x:v>FuturesStrategyBase에 long/short signal과 contract sizing을 포함해줘.</x:v>
      </x:c>
      <x:c r="N57" s="70" t="str">
        <x:v>초기에는 1계약 이하 또는 가상계약으로 검증</x:v>
      </x:c>
      <x:c r="O57" s="71" t="str"/>
    </x:row>
    <x:row r="58" ht="48" customHeight="1">
      <x:c r="A58" s="69" t="n">
        <x:v>50</x:v>
      </x:c>
      <x:c r="B58" s="70" t="str">
        <x:v>8. 선물 기능</x:v>
      </x:c>
      <x:c r="C58" s="70" t="str">
        <x:v>Futures UI</x:v>
      </x:c>
      <x:c r="D58" s="70" t="str">
        <x:v>프론트에 선물 탭을 추가하되 기본 비활성화하고 위험 경고를 표시한다.</x:v>
      </x:c>
      <x:c r="E58" s="70" t="str">
        <x:v>사용자가 주식/선물 상태를 혼동하지 않게 함.</x:v>
      </x:c>
      <x:c r="F58" s="70" t="str">
        <x:v>Futures Dashboard</x:v>
      </x:c>
      <x:c r="G58" s="70" t="str">
        <x:v>P2-고도화</x:v>
      </x:c>
      <x:c r="H58" s="70" t="str">
        <x:v>중간</x:v>
      </x:c>
      <x:c r="I58" s="70" t="str">
        <x:v>미착수</x:v>
      </x:c>
      <x:c r="J58" s="70" t="str"/>
      <x:c r="K58" s="70" t="str">
        <x:v>선물 모드는 별도 권한/경고/한도 표시</x:v>
      </x:c>
      <x:c r="L58" s="70" t="str"/>
      <x:c r="M58" s="70" t="str">
        <x:v>frontend에 Futures 탭을 추가하되 feature flag로 숨김 처리해줘.</x:v>
      </x:c>
      <x:c r="N58" s="70" t="str">
        <x:v>선물 실거래 버튼은 기본 비활성화</x:v>
      </x:c>
      <x:c r="O58" s="71" t="str"/>
    </x:row>
    <x:row r="59" ht="48" customHeight="1">
      <x:c r="A59" s="69" t="n">
        <x:v>51</x:v>
      </x:c>
      <x:c r="B59" s="70" t="str">
        <x:v>9. 에이전트 강화</x:v>
      </x:c>
      <x:c r="C59" s="70" t="str">
        <x:v>Agent Architecture</x:v>
      </x:c>
      <x:c r="D59" s="70" t="str">
        <x:v>에이전트 구조를 Observer, Analyst, Risk Auditor, Strategy Researcher, Report Writer, Execution Recommender로 분리한다.</x:v>
      </x:c>
      <x:c r="E59" s="70" t="str">
        <x:v>에이전트가 한꺼번에 판단·주문하지 않게 역할 분리.</x:v>
      </x:c>
      <x:c r="F59" s="70" t="str">
        <x:v>Agent Architecture</x:v>
      </x:c>
      <x:c r="G59" s="70" t="str">
        <x:v>P0-필수</x:v>
      </x:c>
      <x:c r="H59" s="70" t="str">
        <x:v>중간</x:v>
      </x:c>
      <x:c r="I59" s="70" t="str">
        <x:v>미착수</x:v>
      </x:c>
      <x:c r="J59" s="70" t="str"/>
      <x:c r="K59" s="70" t="str">
        <x:v>각 에이전트의 입력/출력/금지행동이 정의됨</x:v>
      </x:c>
      <x:c r="L59" s="70" t="str">
        <x:v>Execution Recommender도 직접 주문 금지, 승인 큐로만 전달</x:v>
      </x:c>
      <x:c r="M59" s="70" t="str">
        <x:v>docs/agent_architecture.md와 app/agents/base.py를 만들어줘.</x:v>
      </x:c>
      <x:c r="N59" s="70" t="str">
        <x:v>에이전트 권한 분리 필수</x:v>
      </x:c>
      <x:c r="O59" s="71" t="str"/>
    </x:row>
    <x:row r="60" ht="48" customHeight="1">
      <x:c r="A60" s="69" t="n">
        <x:v>52</x:v>
      </x:c>
      <x:c r="B60" s="70" t="str">
        <x:v>9. 에이전트 강화</x:v>
      </x:c>
      <x:c r="C60" s="70" t="str">
        <x:v>Market Observer</x:v>
      </x:c>
      <x:c r="D60" s="70" t="str">
        <x:v>Market Observer Agent를 만든다: 시장지수, 거래대금, 급등락, 섹터 흐름 감시.</x:v>
      </x:c>
      <x:c r="E60" s="70" t="str">
        <x:v>장중 시장 환경을 요약.</x:v>
      </x:c>
      <x:c r="F60" s="70" t="str">
        <x:v>Market Observer Agent</x:v>
      </x:c>
      <x:c r="G60" s="70" t="str">
        <x:v>P1-중요</x:v>
      </x:c>
      <x:c r="H60" s="70" t="str">
        <x:v>중간</x:v>
      </x:c>
      <x:c r="I60" s="70" t="str">
        <x:v>미착수</x:v>
      </x:c>
      <x:c r="J60" s="70" t="str"/>
      <x:c r="K60" s="70" t="str">
        <x:v>시장상태 요약 JSON 생성</x:v>
      </x:c>
      <x:c r="L60" s="70" t="str"/>
      <x:c r="M60" s="70" t="str">
        <x:v>app/agents/market_observer.py를 만들고 market snapshot을 요약하게 해줘.</x:v>
      </x:c>
      <x:c r="N60" s="70" t="str">
        <x:v>요약은 주문 신호가 아님</x:v>
      </x:c>
      <x:c r="O60" s="71" t="str"/>
    </x:row>
    <x:row r="61" ht="48" customHeight="1">
      <x:c r="A61" s="69" t="n">
        <x:v>53</x:v>
      </x:c>
      <x:c r="B61" s="70" t="str">
        <x:v>9. 에이전트 강화</x:v>
      </x:c>
      <x:c r="C61" s="70" t="str">
        <x:v>News/Trend Agent</x:v>
      </x:c>
      <x:c r="D61" s="70" t="str">
        <x:v>뉴스/트렌드 에이전트를 만든다: 키워드 증가, 뉴스 증가, 공시 이벤트를 요약한다.</x:v>
      </x:c>
      <x:c r="E61" s="70" t="str">
        <x:v>테마 후보 발굴 보조.</x:v>
      </x:c>
      <x:c r="F61" s="70" t="str">
        <x:v>NewsTrendAgent</x:v>
      </x:c>
      <x:c r="G61" s="70" t="str">
        <x:v>P1-중요</x:v>
      </x:c>
      <x:c r="H61" s="70" t="str">
        <x:v>중간</x:v>
      </x:c>
      <x:c r="I61" s="70" t="str">
        <x:v>미착수</x:v>
      </x:c>
      <x:c r="J61" s="70" t="str"/>
      <x:c r="K61" s="70" t="str">
        <x:v>테마별 관심도와 관련 종목 후보 출력</x:v>
      </x:c>
      <x:c r="L61" s="70" t="str">
        <x:v>구글트렌드/뉴스는 후보 필터로만 사용</x:v>
      </x:c>
      <x:c r="M61" s="70" t="str">
        <x:v>app/agents/news_trend_agent.py를 만들어 theme_signals를 요약하게 해줘.</x:v>
      </x:c>
      <x:c r="N61" s="70" t="str">
        <x:v>뉴스 해석 오류가 직접 주문으로 이어지지 않게 함</x:v>
      </x:c>
      <x:c r="O61" s="71" t="str">
        <x:v>https://developers.google.com/search/blog/2025/07/trends-api</x:v>
      </x:c>
    </x:row>
    <x:row r="62" ht="48" customHeight="1">
      <x:c r="A62" s="69" t="n">
        <x:v>54</x:v>
      </x:c>
      <x:c r="B62" s="70" t="str">
        <x:v>9. 에이전트 강화</x:v>
      </x:c>
      <x:c r="C62" s="70" t="str">
        <x:v>Risk Auditor</x:v>
      </x:c>
      <x:c r="D62" s="70" t="str">
        <x:v>Risk Auditor Agent를 만든다: 장중 리스크 위반, 데이터 지연, 주문 거절, 손실 원인을 감시.</x:v>
      </x:c>
      <x:c r="E62" s="70" t="str">
        <x:v>자동매매의 안전감독 역할.</x:v>
      </x:c>
      <x:c r="F62" s="70" t="str">
        <x:v>Risk Auditor Agent</x:v>
      </x:c>
      <x:c r="G62" s="70" t="str">
        <x:v>P0-필수</x:v>
      </x:c>
      <x:c r="H62" s="70" t="str">
        <x:v>중간</x:v>
      </x:c>
      <x:c r="I62" s="70" t="str">
        <x:v>미착수</x:v>
      </x:c>
      <x:c r="J62" s="70" t="str"/>
      <x:c r="K62" s="70" t="str">
        <x:v>위험 이벤트 발생 시 알림/리포트</x:v>
      </x:c>
      <x:c r="L62" s="70" t="str">
        <x:v>AI 자동실행 모드에서도 중단 권고 가능</x:v>
      </x:c>
      <x:c r="M62" s="70" t="str">
        <x:v>app/agents/risk_auditor.py를 만들어 risk_events를 분석하게 해줘.</x:v>
      </x:c>
      <x:c r="N62" s="70" t="str">
        <x:v>위험 감지 시 주문권한보다 중지권한이 우선</x:v>
      </x:c>
      <x:c r="O62" s="71" t="str"/>
    </x:row>
    <x:row r="63" ht="48" customHeight="1">
      <x:c r="A63" s="69" t="n">
        <x:v>55</x:v>
      </x:c>
      <x:c r="B63" s="70" t="str">
        <x:v>9. 에이전트 강화</x:v>
      </x:c>
      <x:c r="C63" s="70" t="str">
        <x:v>Strategy Researcher</x:v>
      </x:c>
      <x:c r="D63" s="70" t="str">
        <x:v>Strategy Researcher Agent를 만든다: 백테스트 결과를 읽고 개선 후보를 제안한다.</x:v>
      </x:c>
      <x:c r="E63" s="70" t="str">
        <x:v>전략 개선 아이디어 자동화.</x:v>
      </x:c>
      <x:c r="F63" s="70" t="str">
        <x:v>Strategy Researcher Agent</x:v>
      </x:c>
      <x:c r="G63" s="70" t="str">
        <x:v>P1-중요</x:v>
      </x:c>
      <x:c r="H63" s="70" t="str">
        <x:v>중간</x:v>
      </x:c>
      <x:c r="I63" s="70" t="str">
        <x:v>미착수</x:v>
      </x:c>
      <x:c r="J63" s="70" t="str"/>
      <x:c r="K63" s="70" t="str">
        <x:v>전략 파라미터 개선 제안 리포트 생성</x:v>
      </x:c>
      <x:c r="L63" s="70" t="str"/>
      <x:c r="M63" s="70" t="str">
        <x:v>app/agents/strategy_researcher.py가 backtest_results를 분석해 개선안을 markdown으로 작성하게 해줘.</x:v>
      </x:c>
      <x:c r="N63" s="70" t="str">
        <x:v>제안은 자동 반영하지 않고 PR/승인 절차 필요</x:v>
      </x:c>
      <x:c r="O63" s="71" t="str"/>
    </x:row>
    <x:row r="64" ht="48" customHeight="1">
      <x:c r="A64" s="69" t="n">
        <x:v>56</x:v>
      </x:c>
      <x:c r="B64" s="70" t="str">
        <x:v>9. 에이전트 강화</x:v>
      </x:c>
      <x:c r="C64" s="70" t="str">
        <x:v>Execution Recommender</x:v>
      </x:c>
      <x:c r="D64" s="70" t="str">
        <x:v>Execution Recommender Agent는 매수/매도 제안만 만들고, 승인 큐 또는 RiskManager로 넘긴다.</x:v>
      </x:c>
      <x:c r="E64" s="70" t="str">
        <x:v>사용자 목표인 AI 매수·매도 전환의 중간 단계.</x:v>
      </x:c>
      <x:c r="F64" s="70" t="str">
        <x:v>Execution Recommendation</x:v>
      </x:c>
      <x:c r="G64" s="70" t="str">
        <x:v>P1-중요</x:v>
      </x:c>
      <x:c r="H64" s="70" t="str">
        <x:v>중간</x:v>
      </x:c>
      <x:c r="I64" s="70" t="str">
        <x:v>미착수</x:v>
      </x:c>
      <x:c r="J64" s="70" t="str"/>
      <x:c r="K64" s="70" t="str">
        <x:v>AI 제안에 근거, 기대손익, 리스크 결과, 만료시간 포함</x:v>
      </x:c>
      <x:c r="L64" s="70" t="str">
        <x:v>AI Assist 모드 핵심</x:v>
      </x:c>
      <x:c r="M64" s="70" t="str">
        <x:v>ExecutionRecommender가 order proposal JSON을 생성하되 브로커 호출은 금지해줘.</x:v>
      </x:c>
      <x:c r="N64" s="70" t="str">
        <x:v>직접 주문 함수 import 금지</x:v>
      </x:c>
      <x:c r="O64" s="71" t="str"/>
    </x:row>
    <x:row r="65" ht="48" customHeight="1">
      <x:c r="A65" s="69" t="n">
        <x:v>57</x:v>
      </x:c>
      <x:c r="B65" s="70" t="str">
        <x:v>9. 에이전트 강화</x:v>
      </x:c>
      <x:c r="C65" s="70" t="str">
        <x:v>Daily Report Agent</x:v>
      </x:c>
      <x:c r="D65" s="70" t="str">
        <x:v>Daily Report Agent를 만든다: 수익률, 손실 원인, 시간대별 성과, 내일 주의점 작성.</x:v>
      </x:c>
      <x:c r="E65" s="70" t="str">
        <x:v>매일 개선 루프를 만들기 위함.</x:v>
      </x:c>
      <x:c r="F65" s="70" t="str">
        <x:v>daily_report.md</x:v>
      </x:c>
      <x:c r="G65" s="70" t="str">
        <x:v>P0-필수</x:v>
      </x:c>
      <x:c r="H65" s="70" t="str">
        <x:v>중간</x:v>
      </x:c>
      <x:c r="I65" s="70" t="str">
        <x:v>미착수</x:v>
      </x:c>
      <x:c r="J65" s="70" t="str"/>
      <x:c r="K65" s="70" t="str">
        <x:v>장 종료 후 자동 리포트 생성</x:v>
      </x:c>
      <x:c r="L65" s="70" t="str"/>
      <x:c r="M65" s="70" t="str">
        <x:v>trade_logs와 risk_events를 읽어 reports/daily_YYYY-MM-DD.md를 생성하게 해줘.</x:v>
      </x:c>
      <x:c r="N65" s="70" t="str">
        <x:v>리포트는 투자 조언이 아니라 시스템 개선 자료로 명시</x:v>
      </x:c>
      <x:c r="O65" s="71" t="str"/>
    </x:row>
    <x:row r="66" ht="48" customHeight="1">
      <x:c r="A66" s="69" t="n">
        <x:v>58</x:v>
      </x:c>
      <x:c r="B66" s="70" t="str">
        <x:v>9. 에이전트 강화</x:v>
      </x:c>
      <x:c r="C66" s="70" t="str">
        <x:v>Agent Memory</x:v>
      </x:c>
      <x:c r="D66" s="70" t="str">
        <x:v>에이전트가 과거 리포트와 전략 성과를 검색할 수 있는 기록 저장소를 만든다.</x:v>
      </x:c>
      <x:c r="E66" s="70" t="str">
        <x:v>반복 실수를 줄이고 개선 이력을 축적.</x:v>
      </x:c>
      <x:c r="F66" s="70" t="str">
        <x:v>agent_memory table</x:v>
      </x:c>
      <x:c r="G66" s="70" t="str">
        <x:v>P2-고도화</x:v>
      </x:c>
      <x:c r="H66" s="70" t="str">
        <x:v>중간</x:v>
      </x:c>
      <x:c r="I66" s="70" t="str">
        <x:v>미착수</x:v>
      </x:c>
      <x:c r="J66" s="70" t="str"/>
      <x:c r="K66" s="70" t="str">
        <x:v>과거 손실 원인/전략 변경 이력 검색 가능</x:v>
      </x:c>
      <x:c r="L66" s="70" t="str"/>
      <x:c r="M66" s="70" t="str">
        <x:v>agent_memory 테이블과 retrieval 유틸을 만들어줘.</x:v>
      </x:c>
      <x:c r="N66" s="70" t="str">
        <x:v>개인정보/API secret 저장 금지</x:v>
      </x:c>
      <x:c r="O66" s="71" t="str"/>
    </x:row>
    <x:row r="67" ht="48" customHeight="1">
      <x:c r="A67" s="69" t="n">
        <x:v>59</x:v>
      </x:c>
      <x:c r="B67" s="70" t="str">
        <x:v>10. 웹/PWA</x:v>
      </x:c>
      <x:c r="C67" s="70" t="str">
        <x:v>Frontend Integration</x:v>
      </x:c>
      <x:c r="D67" s="70" t="str">
        <x:v>기존 프론트의 랜덤 시뮬레이션 데이터를 백엔드 API 호출로 교체한다.</x:v>
      </x:c>
      <x:c r="E67" s="70" t="str">
        <x:v>UI 프로토타입을 실제 관제앱으로 전환.</x:v>
      </x:c>
      <x:c r="F67" s="70" t="str">
        <x:v>frontend API client</x:v>
      </x:c>
      <x:c r="G67" s="70" t="str">
        <x:v>P0-필수</x:v>
      </x:c>
      <x:c r="H67" s="70" t="str">
        <x:v>중간</x:v>
      </x:c>
      <x:c r="I67" s="70" t="str">
        <x:v>미착수</x:v>
      </x:c>
      <x:c r="J67" s="70" t="str"/>
      <x:c r="K67" s="70" t="str">
        <x:v>Dashboard가 /status, /positions, /signals 데이터를 표시</x:v>
      </x:c>
      <x:c r="L67" s="70" t="str"/>
      <x:c r="M67" s="70" t="str">
        <x:v>frontend/src/api/client.ts를 만들고 기존 mock 데이터를 API 호출로 교체해줘.</x:v>
      </x:c>
      <x:c r="N67" s="70" t="str">
        <x:v>백엔드 장애 시 명확한 오류 표시</x:v>
      </x:c>
      <x:c r="O67" s="71" t="str"/>
    </x:row>
    <x:row r="68" ht="48" customHeight="1">
      <x:c r="A68" s="69" t="n">
        <x:v>60</x:v>
      </x:c>
      <x:c r="B68" s="70" t="str">
        <x:v>10. 웹/PWA</x:v>
      </x:c>
      <x:c r="C68" s="70" t="str">
        <x:v>Dashboard</x:v>
      </x:c>
      <x:c r="D68" s="70" t="str">
        <x:v>대시보드에 운용모드, API 상태, 데이터 freshness, 손익, 리스크 상태를 표시한다.</x:v>
      </x:c>
      <x:c r="E68" s="70" t="str">
        <x:v>사용자가 현재 시스템 상태를 한눈에 봐야 함.</x:v>
      </x:c>
      <x:c r="F68" s="70" t="str">
        <x:v>Dashboard v1</x:v>
      </x:c>
      <x:c r="G68" s="70" t="str">
        <x:v>P0-필수</x:v>
      </x:c>
      <x:c r="H68" s="70" t="str">
        <x:v>중간</x:v>
      </x:c>
      <x:c r="I68" s="70" t="str">
        <x:v>미착수</x:v>
      </x:c>
      <x:c r="J68" s="70" t="str"/>
      <x:c r="K68" s="70" t="str">
        <x:v>모드/연결/손익/위험 이벤트 표시</x:v>
      </x:c>
      <x:c r="L68" s="70" t="str"/>
      <x:c r="M68" s="70" t="str">
        <x:v>Dashboard에 system health, mode, daily PnL, risk status 카드를 추가해줘.</x:v>
      </x:c>
      <x:c r="N68" s="70" t="str">
        <x:v>수익률만 강조하는 UI 금지</x:v>
      </x:c>
      <x:c r="O68" s="71" t="str"/>
    </x:row>
    <x:row r="69" ht="48" customHeight="1">
      <x:c r="A69" s="69" t="n">
        <x:v>61</x:v>
      </x:c>
      <x:c r="B69" s="70" t="str">
        <x:v>10. 웹/PWA</x:v>
      </x:c>
      <x:c r="C69" s="70" t="str">
        <x:v>Approval UI</x:v>
      </x:c>
      <x:c r="D69" s="70" t="str">
        <x:v>AI/전략 제안 승인 대기 화면을 만든다.</x:v>
      </x:c>
      <x:c r="E69" s="70" t="str">
        <x:v>초기 수동 주문과 AI Assist 모드의 핵심.</x:v>
      </x:c>
      <x:c r="F69" s="70" t="str">
        <x:v>Approval Queue UI</x:v>
      </x:c>
      <x:c r="G69" s="70" t="str">
        <x:v>P0-필수</x:v>
      </x:c>
      <x:c r="H69" s="70" t="str">
        <x:v>중간</x:v>
      </x:c>
      <x:c r="I69" s="70" t="str">
        <x:v>미착수</x:v>
      </x:c>
      <x:c r="J69" s="70" t="str"/>
      <x:c r="K69" s="70" t="str">
        <x:v>제안 근거 확인 후 승인/거절 가능</x:v>
      </x:c>
      <x:c r="L69" s="70" t="str">
        <x:v>AI 매매 전환용 핵심 UI</x:v>
      </x:c>
      <x:c r="M69" s="70" t="str">
        <x:v>ApprovalQueue 컴포넌트를 만들어 proposal, risk_result, approve/reject 버튼을 표시해줘.</x:v>
      </x:c>
      <x:c r="N69" s="70" t="str">
        <x:v>승인 버튼에 2차 확인 또는 만료시간 적용</x:v>
      </x:c>
      <x:c r="O69" s="71" t="str"/>
    </x:row>
    <x:row r="70" ht="48" customHeight="1">
      <x:c r="A70" s="69" t="n">
        <x:v>62</x:v>
      </x:c>
      <x:c r="B70" s="70" t="str">
        <x:v>10. 웹/PWA</x:v>
      </x:c>
      <x:c r="C70" s="70" t="str">
        <x:v>Risk UI</x:v>
      </x:c>
      <x:c r="D70" s="70" t="str">
        <x:v>리스크 설정과 킬스위치 화면을 강화한다.</x:v>
      </x:c>
      <x:c r="E70" s="70" t="str">
        <x:v>사용자가 즉시 멈출 수 있어야 함.</x:v>
      </x:c>
      <x:c r="F70" s="70" t="str">
        <x:v>Risk Control Panel</x:v>
      </x:c>
      <x:c r="G70" s="70" t="str">
        <x:v>P0-필수</x:v>
      </x:c>
      <x:c r="H70" s="70" t="str">
        <x:v>중간</x:v>
      </x:c>
      <x:c r="I70" s="70" t="str">
        <x:v>미착수</x:v>
      </x:c>
      <x:c r="J70" s="70" t="str"/>
      <x:c r="K70" s="70" t="str">
        <x:v>신규매수 중단/미체결 취소/청산 후보 표시 버튼</x:v>
      </x:c>
      <x:c r="L70" s="70" t="str"/>
      <x:c r="M70" s="70" t="str">
        <x:v>RiskControlPanel에 3단계 kill switch 버튼과 현재 제한값을 표시해줘.</x:v>
      </x:c>
      <x:c r="N70" s="70" t="str">
        <x:v>위험한 버튼은 확인 모달 필수</x:v>
      </x:c>
      <x:c r="O70" s="71" t="str"/>
    </x:row>
    <x:row r="71" ht="48" customHeight="1">
      <x:c r="A71" s="69" t="n">
        <x:v>63</x:v>
      </x:c>
      <x:c r="B71" s="70" t="str">
        <x:v>10. 웹/PWA</x:v>
      </x:c>
      <x:c r="C71" s="70" t="str">
        <x:v>PWA</x:v>
      </x:c>
      <x:c r="D71" s="70" t="str">
        <x:v>스마트폰 홈화면 설치 가능한 PWA로 만든다.</x:v>
      </x:c>
      <x:c r="E71" s="70" t="str">
        <x:v>별도 앱 개발 전 모바일 관제 가능.</x:v>
      </x:c>
      <x:c r="F71" s="70" t="str">
        <x:v>PWA manifest/service worker</x:v>
      </x:c>
      <x:c r="G71" s="70" t="str">
        <x:v>P1-중요</x:v>
      </x:c>
      <x:c r="H71" s="70" t="str">
        <x:v>중간</x:v>
      </x:c>
      <x:c r="I71" s="70" t="str">
        <x:v>미착수</x:v>
      </x:c>
      <x:c r="J71" s="70" t="str"/>
      <x:c r="K71" s="70" t="str">
        <x:v>모바일에서 설치 및 주요 화면 사용 가능</x:v>
      </x:c>
      <x:c r="L71" s="70" t="str"/>
      <x:c r="M71" s="70" t="str">
        <x:v>Vite React 앱에 PWA 설정과 manifest를 추가해줘.</x:v>
      </x:c>
      <x:c r="N71" s="70" t="str">
        <x:v>푸시 알림은 보안/권한 문제를 별도 검토</x:v>
      </x:c>
      <x:c r="O71" s="71" t="str"/>
    </x:row>
    <x:row r="72" ht="48" customHeight="1">
      <x:c r="A72" s="69" t="n">
        <x:v>64</x:v>
      </x:c>
      <x:c r="B72" s="70" t="str">
        <x:v>10. 웹/PWA</x:v>
      </x:c>
      <x:c r="C72" s="70" t="str">
        <x:v>Notifications</x:v>
      </x:c>
      <x:c r="D72" s="70" t="str">
        <x:v>알림 기능을 만든다: 손실한도 접근, 주문 승인 대기, API 장애, 데이터 지연.</x:v>
      </x:c>
      <x:c r="E72" s="70" t="str">
        <x:v>장중 즉시 대응이 필요.</x:v>
      </x:c>
      <x:c r="F72" s="70" t="str">
        <x:v>notification service</x:v>
      </x:c>
      <x:c r="G72" s="70" t="str">
        <x:v>P1-중요</x:v>
      </x:c>
      <x:c r="H72" s="70" t="str">
        <x:v>중간</x:v>
      </x:c>
      <x:c r="I72" s="70" t="str">
        <x:v>미착수</x:v>
      </x:c>
      <x:c r="J72" s="70" t="str"/>
      <x:c r="K72" s="70" t="str">
        <x:v>텔레그램/이메일/웹푸시 중 1개 이상 작동</x:v>
      </x:c>
      <x:c r="L72" s="70" t="str"/>
      <x:c r="M72" s="70" t="str">
        <x:v>app/notifications/telegram.py를 만들고 risk event 발생 시 알림을 보내게 해줘.</x:v>
      </x:c>
      <x:c r="N72" s="70" t="str">
        <x:v>주문 성공 알림보다 위험 알림 우선</x:v>
      </x:c>
      <x:c r="O72" s="71" t="str"/>
    </x:row>
    <x:row r="73" ht="48" customHeight="1">
      <x:c r="A73" s="69" t="n">
        <x:v>65</x:v>
      </x:c>
      <x:c r="B73" s="70" t="str">
        <x:v>11. 테스트/운영</x:v>
      </x:c>
      <x:c r="C73" s="70" t="str">
        <x:v>Unit Tests</x:v>
      </x:c>
      <x:c r="D73" s="70" t="str">
        <x:v>RiskManager, OrderGuard, StrategyBase, BacktestEngine 단위테스트를 작성한다.</x:v>
      </x:c>
      <x:c r="E73" s="70" t="str">
        <x:v>돈이 걸린 시스템은 테스트가 핵심.</x:v>
      </x:c>
      <x:c r="F73" s="70" t="str">
        <x:v>pytest tests</x:v>
      </x:c>
      <x:c r="G73" s="70" t="str">
        <x:v>P0-필수</x:v>
      </x:c>
      <x:c r="H73" s="70" t="str">
        <x:v>중간</x:v>
      </x:c>
      <x:c r="I73" s="70" t="str">
        <x:v>미착수</x:v>
      </x:c>
      <x:c r="J73" s="70" t="str"/>
      <x:c r="K73" s="70" t="str">
        <x:v>핵심 모듈 테스트 커버리지 확보</x:v>
      </x:c>
      <x:c r="L73" s="70" t="str"/>
      <x:c r="M73" s="70" t="str">
        <x:v>tests/test_risk_manager.py, test_order_guard.py, test_backtest.py를 작성해줘.</x:v>
      </x:c>
      <x:c r="N73" s="70" t="str">
        <x:v>테스트 없는 실거래 코드 금지</x:v>
      </x:c>
      <x:c r="O73" s="71" t="str"/>
    </x:row>
    <x:row r="74" ht="48" customHeight="1">
      <x:c r="A74" s="69" t="n">
        <x:v>66</x:v>
      </x:c>
      <x:c r="B74" s="70" t="str">
        <x:v>11. 테스트/운영</x:v>
      </x:c>
      <x:c r="C74" s="70" t="str">
        <x:v>Integration Tests</x:v>
      </x:c>
      <x:c r="D74" s="70" t="str">
        <x:v>MockBroker 기준으로 신호→리스크→주문→체결→포지션 전체 흐름 테스트를 만든다.</x:v>
      </x:c>
      <x:c r="E74" s="70" t="str">
        <x:v>모듈 간 연결 오류 확인.</x:v>
      </x:c>
      <x:c r="F74" s="70" t="str">
        <x:v>integration test</x:v>
      </x:c>
      <x:c r="G74" s="70" t="str">
        <x:v>P0-필수</x:v>
      </x:c>
      <x:c r="H74" s="70" t="str">
        <x:v>중간</x:v>
      </x:c>
      <x:c r="I74" s="70" t="str">
        <x:v>미착수</x:v>
      </x:c>
      <x:c r="J74" s="70" t="str"/>
      <x:c r="K74" s="70" t="str">
        <x:v>E2E 흐름 1회 이상 자동 테스트</x:v>
      </x:c>
      <x:c r="L74" s="70" t="str"/>
      <x:c r="M74" s="70" t="str">
        <x:v>tests/test_order_flow.py에 전체 주문 흐름 테스트를 작성해줘.</x:v>
      </x:c>
      <x:c r="N74" s="70" t="str">
        <x:v>실제 브로커 API 없이도 테스트 가능해야 함</x:v>
      </x:c>
      <x:c r="O74" s="71" t="str"/>
    </x:row>
    <x:row r="75" ht="48" customHeight="1">
      <x:c r="A75" s="69" t="n">
        <x:v>67</x:v>
      </x:c>
      <x:c r="B75" s="70" t="str">
        <x:v>11. 테스트/운영</x:v>
      </x:c>
      <x:c r="C75" s="70" t="str">
        <x:v>Staging</x:v>
      </x:c>
      <x:c r="D75" s="70" t="str">
        <x:v>운영 서버와 별개로 staging 환경을 만든다.</x:v>
      </x:c>
      <x:c r="E75" s="70" t="str">
        <x:v>실거래 서버에 실험 코드 배포 방지.</x:v>
      </x:c>
      <x:c r="F75" s="70" t="str">
        <x:v>staging environment</x:v>
      </x:c>
      <x:c r="G75" s="70" t="str">
        <x:v>P1-중요</x:v>
      </x:c>
      <x:c r="H75" s="70" t="str">
        <x:v>중간</x:v>
      </x:c>
      <x:c r="I75" s="70" t="str">
        <x:v>미착수</x:v>
      </x:c>
      <x:c r="J75" s="70" t="str"/>
      <x:c r="K75" s="70" t="str">
        <x:v>staging에서만 신규 기능 테스트</x:v>
      </x:c>
      <x:c r="L75" s="70" t="str"/>
      <x:c r="M75" s="70" t="str">
        <x:v>docker-compose.staging.yml과 실행 가이드를 만들어줘.</x:v>
      </x:c>
      <x:c r="N75" s="70" t="str">
        <x:v>LIVE 모드는 staging에서 비활성화</x:v>
      </x:c>
      <x:c r="O75" s="71" t="str"/>
    </x:row>
    <x:row r="76" ht="48" customHeight="1">
      <x:c r="A76" s="69" t="n">
        <x:v>68</x:v>
      </x:c>
      <x:c r="B76" s="70" t="str">
        <x:v>11. 테스트/운영</x:v>
      </x:c>
      <x:c r="C76" s="70" t="str">
        <x:v>Audit Log</x:v>
      </x:c>
      <x:c r="D76" s="70" t="str">
        <x:v>모든 신호, 주문 요청, 승인, 거절, AI 제안, 리스크 차단을 감사로그로 남긴다.</x:v>
      </x:c>
      <x:c r="E76" s="70" t="str">
        <x:v>문제 발생 시 원인 추적.</x:v>
      </x:c>
      <x:c r="F76" s="70" t="str">
        <x:v>audit_logs table</x:v>
      </x:c>
      <x:c r="G76" s="70" t="str">
        <x:v>P0-필수</x:v>
      </x:c>
      <x:c r="H76" s="70" t="str">
        <x:v>중간</x:v>
      </x:c>
      <x:c r="I76" s="70" t="str">
        <x:v>미착수</x:v>
      </x:c>
      <x:c r="J76" s="70" t="str"/>
      <x:c r="K76" s="70" t="str">
        <x:v>누가/무엇이/왜 주문했는지 추적 가능</x:v>
      </x:c>
      <x:c r="L76" s="70" t="str">
        <x:v>AI 주문은 특히 상세 로그 필수</x:v>
      </x:c>
      <x:c r="M76" s="70" t="str">
        <x:v>audit_logs 테이블과 log_audit_event 유틸을 만들어줘.</x:v>
      </x:c>
      <x:c r="N76" s="70" t="str">
        <x:v>로그 삭제/수정 방지</x:v>
      </x:c>
      <x:c r="O76" s="71" t="str"/>
    </x:row>
    <x:row r="77" ht="48" customHeight="1">
      <x:c r="A77" s="69" t="n">
        <x:v>69</x:v>
      </x:c>
      <x:c r="B77" s="70" t="str">
        <x:v>11. 테스트/운영</x:v>
      </x:c>
      <x:c r="C77" s="70" t="str">
        <x:v>Backup</x:v>
      </x:c>
      <x:c r="D77" s="70" t="str">
        <x:v>DB 백업과 설정 백업 정책을 만든다.</x:v>
      </x:c>
      <x:c r="E77" s="70" t="str">
        <x:v>장애 시 복구.</x:v>
      </x:c>
      <x:c r="F77" s="70" t="str">
        <x:v>backup script</x:v>
      </x:c>
      <x:c r="G77" s="70" t="str">
        <x:v>P1-중요</x:v>
      </x:c>
      <x:c r="H77" s="70" t="str">
        <x:v>중간</x:v>
      </x:c>
      <x:c r="I77" s="70" t="str">
        <x:v>미착수</x:v>
      </x:c>
      <x:c r="J77" s="70" t="str"/>
      <x:c r="K77" s="70" t="str">
        <x:v>일 1회 백업 파일 생성</x:v>
      </x:c>
      <x:c r="L77" s="70" t="str"/>
      <x:c r="M77" s="70" t="str">
        <x:v>scripts/backup_db.sh와 복구 가이드를 작성해줘.</x:v>
      </x:c>
      <x:c r="N77" s="70" t="str">
        <x:v>API Secret 백업 방식 주의</x:v>
      </x:c>
      <x:c r="O77" s="71" t="str"/>
    </x:row>
    <x:row r="78" ht="48" customHeight="1">
      <x:c r="A78" s="69" t="n">
        <x:v>70</x:v>
      </x:c>
      <x:c r="B78" s="70" t="str">
        <x:v>11. 테스트/운영</x:v>
      </x:c>
      <x:c r="C78" s="70" t="str">
        <x:v>Monitoring</x:v>
      </x:c>
      <x:c r="D78" s="70" t="str">
        <x:v>서버 상태, API 오류율, 데이터 지연, 주문 실패율을 모니터링한다.</x:v>
      </x:c>
      <x:c r="E78" s="70" t="str">
        <x:v>장중 장애 조기 발견.</x:v>
      </x:c>
      <x:c r="F78" s="70" t="str">
        <x:v>monitoring dashboard</x:v>
      </x:c>
      <x:c r="G78" s="70" t="str">
        <x:v>P1-중요</x:v>
      </x:c>
      <x:c r="H78" s="70" t="str">
        <x:v>중간</x:v>
      </x:c>
      <x:c r="I78" s="70" t="str">
        <x:v>미착수</x:v>
      </x:c>
      <x:c r="J78" s="70" t="str"/>
      <x:c r="K78" s="70" t="str">
        <x:v>오류 발생 시 알림</x:v>
      </x:c>
      <x:c r="L78" s="70" t="str"/>
      <x:c r="M78" s="70" t="str">
        <x:v>health check endpoint와 error metrics 수집 로직을 추가해줘.</x:v>
      </x:c>
      <x:c r="N78" s="70" t="str">
        <x:v>수익 모니터링보다 시스템 안정성 우선</x:v>
      </x:c>
      <x:c r="O78" s="71" t="str"/>
    </x:row>
    <x:row r="79" ht="48" customHeight="1">
      <x:c r="A79" s="69" t="n">
        <x:v>71</x:v>
      </x:c>
      <x:c r="B79" s="70" t="str">
        <x:v>12. 단계별 승격</x:v>
      </x:c>
      <x:c r="C79" s="70" t="str">
        <x:v>MVP Gate</x:v>
      </x:c>
      <x:c r="D79" s="70" t="str">
        <x:v>MVP 완료 기준을 확인한다: MockBroker, DB, 백테스트, RiskManager, 기본 대시보드.</x:v>
      </x:c>
      <x:c r="E79" s="70" t="str">
        <x:v>다음 단계 진입 전 최소 기반 확보.</x:v>
      </x:c>
      <x:c r="F79" s="70" t="str">
        <x:v>MVP completion checklist</x:v>
      </x:c>
      <x:c r="G79" s="70" t="str">
        <x:v>P0-필수</x:v>
      </x:c>
      <x:c r="H79" s="70" t="str">
        <x:v>중간</x:v>
      </x:c>
      <x:c r="I79" s="70" t="str">
        <x:v>미착수</x:v>
      </x:c>
      <x:c r="J79" s="70" t="str"/>
      <x:c r="K79" s="70" t="str">
        <x:v>P0 필수 항목 대부분 완료</x:v>
      </x:c>
      <x:c r="L79" s="70" t="str"/>
      <x:c r="M79" s="70" t="str">
        <x:v>docs/mvp_completion.md에 현재 완료/미완료 항목을 자동 요약해줘.</x:v>
      </x:c>
      <x:c r="N79" s="70" t="str">
        <x:v>MVP 전 실거래 금지</x:v>
      </x:c>
      <x:c r="O79" s="71" t="str"/>
    </x:row>
    <x:row r="80" ht="48" customHeight="1">
      <x:c r="A80" s="69" t="n">
        <x:v>72</x:v>
      </x:c>
      <x:c r="B80" s="70" t="str">
        <x:v>12. 단계별 승격</x:v>
      </x:c>
      <x:c r="C80" s="70" t="str">
        <x:v>Paper Gate</x:v>
      </x:c>
      <x:c r="D80" s="70" t="str">
        <x:v>Paper 모드 4주 이상 운용하고 최소 100회 이상 신호를 확보한다.</x:v>
      </x:c>
      <x:c r="E80" s="70" t="str">
        <x:v>실시간 환경 안정성 검증.</x:v>
      </x:c>
      <x:c r="F80" s="70" t="str">
        <x:v>paper trading report</x:v>
      </x:c>
      <x:c r="G80" s="70" t="str">
        <x:v>P0-필수</x:v>
      </x:c>
      <x:c r="H80" s="70" t="str">
        <x:v>중간</x:v>
      </x:c>
      <x:c r="I80" s="70" t="str">
        <x:v>미착수</x:v>
      </x:c>
      <x:c r="J80" s="70" t="str"/>
      <x:c r="K80" s="70" t="str">
        <x:v>PF&gt;1.2, 기대값 양수, MDD 제한, 손실한도 위반 0회</x:v>
      </x:c>
      <x:c r="L80" s="70" t="str"/>
      <x:c r="M80" s="70" t="str">
        <x:v>Paper trading 결과를 promotion_policy 기준으로 평가하는 스크립트를 만들어줘.</x:v>
      </x:c>
      <x:c r="N80" s="70" t="str">
        <x:v>표본 수 부족 시 승격 금지</x:v>
      </x:c>
      <x:c r="O80" s="71" t="str"/>
    </x:row>
    <x:row r="81" ht="48" customHeight="1">
      <x:c r="A81" s="69" t="n">
        <x:v>73</x:v>
      </x:c>
      <x:c r="B81" s="70" t="str">
        <x:v>12. 단계별 승격</x:v>
      </x:c>
      <x:c r="C81" s="70" t="str">
        <x:v>Live Manual Gate</x:v>
      </x:c>
      <x:c r="D81" s="70" t="str">
        <x:v>소액 실거래는 수동승인 모드에서만 시작한다.</x:v>
      </x:c>
      <x:c r="E81" s="70" t="str">
        <x:v>사용자가 직접 주문을 넣으며 체결/리스크 품질 확인.</x:v>
      </x:c>
      <x:c r="F81" s="70" t="str">
        <x:v>LIVE_MANUAL_APPROVAL 운영 로그</x:v>
      </x:c>
      <x:c r="G81" s="70" t="str">
        <x:v>P0-필수</x:v>
      </x:c>
      <x:c r="H81" s="70" t="str">
        <x:v>중간</x:v>
      </x:c>
      <x:c r="I81" s="70" t="str">
        <x:v>미착수</x:v>
      </x:c>
      <x:c r="J81" s="70" t="str"/>
      <x:c r="K81" s="70" t="str">
        <x:v>소액 실거래 기간 동안 시스템 오류 0건</x:v>
      </x:c>
      <x:c r="L81" s="70" t="str">
        <x:v>사용자 초기 요구 반영</x:v>
      </x:c>
      <x:c r="M81" s="70" t="str">
        <x:v>LIVE_MANUAL_APPROVAL 모드를 활성화하되 주문은 approval API를 통해서만 나가게 해줘.</x:v>
      </x:c>
      <x:c r="N81" s="70" t="str">
        <x:v>주문금액 극소액, 하루 손실한도 엄격 적용</x:v>
      </x:c>
      <x:c r="O81" s="71" t="str"/>
    </x:row>
    <x:row r="82" ht="48" customHeight="1">
      <x:c r="A82" s="69" t="n">
        <x:v>74</x:v>
      </x:c>
      <x:c r="B82" s="70" t="str">
        <x:v>12. 단계별 승격</x:v>
      </x:c>
      <x:c r="C82" s="70" t="str">
        <x:v>AI Assist Gate</x:v>
      </x:c>
      <x:c r="D82" s="70" t="str">
        <x:v>AI Assist 모드로 전환한다: AI 제안 + 사람 승인.</x:v>
      </x:c>
      <x:c r="E82" s="70" t="str">
        <x:v>AI 판단 품질을 실전 환경에서 검증.</x:v>
      </x:c>
      <x:c r="F82" s="70" t="str">
        <x:v>AI Assist report</x:v>
      </x:c>
      <x:c r="G82" s="70" t="str">
        <x:v>P1-중요</x:v>
      </x:c>
      <x:c r="H82" s="70" t="str">
        <x:v>중간</x:v>
      </x:c>
      <x:c r="I82" s="70" t="str">
        <x:v>미착수</x:v>
      </x:c>
      <x:c r="J82" s="70" t="str"/>
      <x:c r="K82" s="70" t="str">
        <x:v>AI 제안의 적중률, 거절률, 손실률, 위험 이벤트 분석</x:v>
      </x:c>
      <x:c r="L82" s="70" t="str">
        <x:v>AI 자동매매 전 필수 검증</x:v>
      </x:c>
      <x:c r="M82" s="70" t="str">
        <x:v>AI proposal 성과를 별도로 추적하는 리포트를 만들어줘.</x:v>
      </x:c>
      <x:c r="N82" s="70" t="str">
        <x:v>AI 제안 실패 원인을 태깅</x:v>
      </x:c>
      <x:c r="O82" s="71" t="str"/>
    </x:row>
    <x:row r="83" ht="48" customHeight="1">
      <x:c r="A83" s="69" t="n">
        <x:v>75</x:v>
      </x:c>
      <x:c r="B83" s="70" t="str">
        <x:v>12. 단계별 승격</x:v>
      </x:c>
      <x:c r="C83" s="70" t="str">
        <x:v>AI Execution Gate</x:v>
      </x:c>
      <x:c r="D83" s="70" t="str">
        <x:v>AI 실행 모드는 제한된 조건에서만 켠다: 종목 제한, 금액 제한, 시간 제한, 자동 중단.</x:v>
      </x:c>
      <x:c r="E83" s="70" t="str">
        <x:v>완전 자동화의 위험을 낮추기 위함.</x:v>
      </x:c>
      <x:c r="F83" s="70" t="str">
        <x:v>LIVE_AI_EXECUTION approval</x:v>
      </x:c>
      <x:c r="G83" s="70" t="str">
        <x:v>P2-고도화</x:v>
      </x:c>
      <x:c r="H83" s="70" t="str">
        <x:v>높음</x:v>
      </x:c>
      <x:c r="I83" s="70" t="str">
        <x:v>미착수</x:v>
      </x:c>
      <x:c r="J83" s="70" t="str"/>
      <x:c r="K83" s="70" t="str">
        <x:v>AI 주문도 모든 리스크/권한/감사로그 통과</x:v>
      </x:c>
      <x:c r="L83" s="70" t="str">
        <x:v>사용자 최종 목표</x:v>
      </x:c>
      <x:c r="M83" s="70" t="str">
        <x:v>LIVE_AI_EXECUTION 활성화 전 promotion_policy를 강제로 검사하게 해줘.</x:v>
      </x:c>
      <x:c r="N83" s="70" t="str">
        <x:v>선물에서는 AI Execution을 더 늦게 허용</x:v>
      </x:c>
      <x:c r="O83" s="71" t="str"/>
    </x:row>
    <x:row r="84" ht="48" customHeight="1">
      <x:c r="A84" s="69" t="n">
        <x:v>76</x:v>
      </x:c>
      <x:c r="B84" s="70" t="str">
        <x:v>12. 단계별 승격</x:v>
      </x:c>
      <x:c r="C84" s="70" t="str">
        <x:v>Futures Gate</x:v>
      </x:c>
      <x:c r="D84" s="70" t="str">
        <x:v>선물 기능은 주식 AI Assist까지 안정화된 뒤 별도 Paper/Shadow부터 시작한다.</x:v>
      </x:c>
      <x:c r="E84" s="70" t="str">
        <x:v>선물은 레버리지와 청산위험이 커서 마지막에 추가.</x:v>
      </x:c>
      <x:c r="F84" s="70" t="str">
        <x:v>Futures promotion policy</x:v>
      </x:c>
      <x:c r="G84" s="70" t="str">
        <x:v>P2-고도화</x:v>
      </x:c>
      <x:c r="H84" s="70" t="str">
        <x:v>높음</x:v>
      </x:c>
      <x:c r="I84" s="70" t="str">
        <x:v>미착수</x:v>
      </x:c>
      <x:c r="J84" s="70" t="str"/>
      <x:c r="K84" s="70" t="str">
        <x:v>선물 모의/Shadow 최소기간과 손실한도 기준 정의</x:v>
      </x:c>
      <x:c r="L84" s="70" t="str">
        <x:v>선물 AI 실행은 별도 승인 필요</x:v>
      </x:c>
      <x:c r="M84" s="70" t="str">
        <x:v>docs/futures_promotion_policy.md에 선물 단계별 승격 기준을 작성해줘.</x:v>
      </x:c>
      <x:c r="N84" s="70" t="str">
        <x:v>선물 실거래는 자동매매 전체에서 가장 마지막</x:v>
      </x:c>
      <x:c r="O84" s="71" t="str"/>
    </x:row>
    <x:row r="85" ht="48" customHeight="1">
      <x:c r="A85" s="69" t="n">
        <x:v>77</x:v>
      </x:c>
      <x:c r="B85" s="70" t="str">
        <x:v>13. 고도화 아이디어</x:v>
      </x:c>
      <x:c r="C85" s="70" t="str">
        <x:v>Alpha Decay</x:v>
      </x:c>
      <x:c r="D85" s="70" t="str">
        <x:v>전략별 알파 감쇠를 추적한다: 최근 성과가 약해지면 자동 비활성 후보로 지정.</x:v>
      </x:c>
      <x:c r="E85" s="70" t="str">
        <x:v>한때 잘 되던 단타 전략이 계속 통하지 않을 수 있음.</x:v>
      </x:c>
      <x:c r="F85" s="70" t="str">
        <x:v>Alpha Decay Monitor</x:v>
      </x:c>
      <x:c r="G85" s="70" t="str">
        <x:v>P2-고도화</x:v>
      </x:c>
      <x:c r="H85" s="70" t="str">
        <x:v>중간</x:v>
      </x:c>
      <x:c r="I85" s="70" t="str">
        <x:v>미착수</x:v>
      </x:c>
      <x:c r="J85" s="70" t="str"/>
      <x:c r="K85" s="70" t="str">
        <x:v>최근 N일 성과 저하 시 경고</x:v>
      </x:c>
      <x:c r="L85" s="70" t="str"/>
      <x:c r="M85" s="70" t="str">
        <x:v>strategy_runs를 분석해 alpha_decay_score를 계산해줘.</x:v>
      </x:c>
      <x:c r="N85" s="70" t="str">
        <x:v>단기 부진과 구조적 성능저하 구분 필요</x:v>
      </x:c>
      <x:c r="O85" s="71" t="str"/>
    </x:row>
    <x:row r="86" ht="48" customHeight="1">
      <x:c r="A86" s="69" t="n">
        <x:v>78</x:v>
      </x:c>
      <x:c r="B86" s="70" t="str">
        <x:v>13. 고도화 아이디어</x:v>
      </x:c>
      <x:c r="C86" s="70" t="str">
        <x:v>Correlation Guard</x:v>
      </x:c>
      <x:c r="D86" s="70" t="str">
        <x:v>동일 테마/섹터 종목을 과다 보유하지 않도록 상관관계 가드를 둔다.</x:v>
      </x:c>
      <x:c r="E86" s="70" t="str">
        <x:v>같은 테마 급락 시 동시 손실 방지.</x:v>
      </x:c>
      <x:c r="F86" s="70" t="str">
        <x:v>CorrelationGuard</x:v>
      </x:c>
      <x:c r="G86" s="70" t="str">
        <x:v>P2-고도화</x:v>
      </x:c>
      <x:c r="H86" s="70" t="str">
        <x:v>중간</x:v>
      </x:c>
      <x:c r="I86" s="70" t="str">
        <x:v>미착수</x:v>
      </x:c>
      <x:c r="J86" s="70" t="str"/>
      <x:c r="K86" s="70" t="str">
        <x:v>상관 높은 종목 동시 진입 제한</x:v>
      </x:c>
      <x:c r="L86" s="70" t="str"/>
      <x:c r="M86" s="70" t="str">
        <x:v>CorrelationGuardRule을 만들고 섹터/테마별 익스포저를 제한해줘.</x:v>
      </x:c>
      <x:c r="N86" s="70" t="str">
        <x:v>초기에는 섹터 태그 기반 단순 버전</x:v>
      </x:c>
      <x:c r="O86" s="71" t="str"/>
    </x:row>
    <x:row r="87" ht="48" customHeight="1">
      <x:c r="A87" s="69" t="n">
        <x:v>79</x:v>
      </x:c>
      <x:c r="B87" s="70" t="str">
        <x:v>13. 고도화 아이디어</x:v>
      </x:c>
      <x:c r="C87" s="70" t="str">
        <x:v>Loss Tagging</x:v>
      </x:c>
      <x:c r="D87" s="70" t="str">
        <x:v>손실 원인 태깅을 자동화한다: 돌파 실패, 거래량 급감, 시장 급락, 슬리피지, 뉴스 소멸 등.</x:v>
      </x:c>
      <x:c r="E87" s="70" t="str">
        <x:v>AI 리포트 품질을 높임.</x:v>
      </x:c>
      <x:c r="F87" s="70" t="str">
        <x:v>loss_reason tags</x:v>
      </x:c>
      <x:c r="G87" s="70" t="str">
        <x:v>P1-중요</x:v>
      </x:c>
      <x:c r="H87" s="70" t="str">
        <x:v>중간</x:v>
      </x:c>
      <x:c r="I87" s="70" t="str">
        <x:v>미착수</x:v>
      </x:c>
      <x:c r="J87" s="70" t="str"/>
      <x:c r="K87" s="70" t="str">
        <x:v>손절 거래마다 1개 이상 손실 원인 태그 저장</x:v>
      </x:c>
      <x:c r="L87" s="70" t="str">
        <x:v>Agent가 손실 원인을 학습/요약</x:v>
      </x:c>
      <x:c r="M87" s="70" t="str">
        <x:v>trade close 시 loss_reason을 추정하고 저장하는 유틸을 만들어줘.</x:v>
      </x:c>
      <x:c r="N87" s="70" t="str">
        <x:v>태그는 추정값이므로 확정 표현 금지</x:v>
      </x:c>
      <x:c r="O87" s="71" t="str"/>
    </x:row>
    <x:row r="88" ht="48" customHeight="1">
      <x:c r="A88" s="72" t="n">
        <x:v>80</x:v>
      </x:c>
      <x:c r="B88" s="73" t="str">
        <x:v>13. 고도화 아이디어</x:v>
      </x:c>
      <x:c r="C88" s="73" t="str">
        <x:v>Pre-market Checklist</x:v>
      </x:c>
      <x:c r="D88" s="73" t="str">
        <x:v>장 시작 전 자동 점검을 만든다: API, DB, 데이터, 전략, 손실한도, 킬스위치 상태.</x:v>
      </x:c>
      <x:c r="E88" s="73" t="str">
        <x:v>장중 사고를 시작 전에 막기 위함.</x:v>
      </x:c>
      <x:c r="F88" s="73" t="str">
        <x:v>pre_market_check</x:v>
      </x:c>
      <x:c r="G88" s="73" t="str">
        <x:v>P1-중요</x:v>
      </x:c>
      <x:c r="H88" s="73" t="str">
        <x:v>중간</x:v>
      </x:c>
      <x:c r="I88" s="73" t="str">
        <x:v>미착수</x:v>
      </x:c>
      <x:c r="J88" s="73" t="str"/>
      <x:c r="K88" s="73" t="str">
        <x:v>하나라도 실패하면 자동매매 시작 금지</x:v>
      </x:c>
      <x:c r="L88" s="73" t="str"/>
      <x:c r="M88" s="73" t="str">
        <x:v>scripts/pre_market_check.py를 만들어 체크 실패 시 PAPER/LIVE 시작을 막아줘.</x:v>
      </x:c>
      <x:c r="N88" s="73" t="str">
        <x:v>수동 확인 버튼도 함께 제공</x:v>
      </x:c>
      <x:c r="O88" s="74" t="str"/>
    </x:row>
    <x:row r="91">
      <x:c r="A91" s="191" t="str">
        <x:v>운영 원칙 요약</x:v>
      </x:c>
    </x:row>
    <x:row r="92">
      <x:c r="A92" s="57" t="str">
        <x:v>1</x:v>
      </x:c>
      <x:c r="B92" s="59" t="str">
        <x:v>기존 ZIP은 버리지 말고 frontend-prototype으로 사용한다. 실제 자동매매 핵심은 backend에 새로 만든다.</x:v>
      </x:c>
    </x:row>
    <x:row r="93">
      <x:c r="A93" s="60" t="str">
        <x:v>2</x:v>
      </x:c>
      <x:c r="B93" s="62" t="str">
        <x:v>처음에는 사용자가 주문 승인한다. 안정화 후 AI Assist, 마지막에 제한적 AI Execution으로 승격한다.</x:v>
      </x:c>
    </x:row>
    <x:row r="94">
      <x:c r="A94" s="60" t="str">
        <x:v>3</x:v>
      </x:c>
      <x:c r="B94" s="62" t="str">
        <x:v>AI는 어떤 단계에서도 RiskManager, AI Permission Gate, Audit Log를 우회할 수 없다.</x:v>
      </x:c>
    </x:row>
    <x:row r="95">
      <x:c r="A95" s="60" t="str">
        <x:v>4</x:v>
      </x:c>
      <x:c r="B95" s="62" t="str">
        <x:v>선물은 주식 MVP와 AI Assist가 안정화된 뒤 별도 모듈로 추가한다. 선물 AI 실행은 가장 마지막이다.</x:v>
      </x:c>
    </x:row>
    <x:row r="96">
      <x:c r="A96" s="63" t="str">
        <x:v>5</x:v>
      </x:c>
      <x:c r="B96" s="65" t="str">
        <x:v>구글트렌드·뉴스·공시는 매수 버튼이 아니라 후보 필터와 리포트 보조자료로 사용한다.</x:v>
      </x:c>
    </x:row>
  </x:sheetData>
  <x:mergeCells>
    <x:mergeCell ref="A1:O1"/>
    <x:mergeCell ref="A2:O2"/>
    <x:mergeCell ref="A91:O91"/>
  </x:mergeCells>
  <x:conditionalFormatting sqref="I9:I88">
    <x:cfRule type="expression" dxfId="0" priority="1">
      <x:formula>I9="완료"</x:formula>
    </x:cfRule>
    <x:cfRule type="expression" dxfId="1" priority="2">
      <x:formula>I9="진행중"</x:formula>
    </x:cfRule>
    <x:cfRule type="expression" dxfId="2" priority="3">
      <x:formula>I9="보류"</x:formula>
    </x:cfRule>
  </x:conditionalFormatting>
  <x:conditionalFormatting sqref="G9:G88">
    <x:cfRule type="expression" dxfId="3" priority="4">
      <x:formula>G9="P0-필수"</x:formula>
    </x:cfRule>
    <x:cfRule type="expression" dxfId="4" priority="5">
      <x:formula>G9="P1-중요"</x:formula>
    </x:cfRule>
  </x:conditionalFormatting>
  <x:conditionalFormatting sqref="L9:L88">
    <x:cfRule type="expression" dxfId="5" priority="6">
      <x:formula>ISNUMBER(SEARCH("AI",L9))</x:formula>
    </x:cfRule>
    <x:cfRule type="expression" dxfId="6" priority="7">
      <x:formula>ISNUMBER(SEARCH("선물",L9))</x:formula>
    </x:cfRule>
  </x:conditionalFormatting>
  <x:dataValidations count="3">
    <x:dataValidation type="list" sqref="G9:G88">
      <x:formula1>"P0-필수,P1-중요,P2-고도화"</x:formula1>
    </x:dataValidation>
    <x:dataValidation type="list" sqref="H9:H88">
      <x:formula1>"낮음,중간,높음"</x:formula1>
    </x:dataValidation>
    <x:dataValidation type="list" sqref="I9:I88">
      <x:formula1>"미착수,진행중,완료,보류"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e2393bc5af405a"/>
  </x:tableParts>
</x:worksheet>
</file>